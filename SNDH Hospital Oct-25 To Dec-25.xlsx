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G:\Shared drives\SCK Cloud-Boston VBR\Invoice Collection\SNDH  Hospital\"/>
    </mc:Choice>
  </mc:AlternateContent>
  <xr:revisionPtr revIDLastSave="0" documentId="13_ncr:1_{6E982B43-52FE-49F5-911A-135F2EAB4DE2}" xr6:coauthVersionLast="47" xr6:coauthVersionMax="47" xr10:uidLastSave="{00000000-0000-0000-0000-000000000000}"/>
  <bookViews>
    <workbookView xWindow="-110" yWindow="-110" windowWidth="19420" windowHeight="10300" xr2:uid="{8F354A71-A595-442C-B12D-35DF1A89A4AF}"/>
  </bookViews>
  <sheets>
    <sheet name="Pivot" sheetId="3" r:id="rId1"/>
    <sheet name="Tracker" sheetId="2" r:id="rId2"/>
    <sheet name="Secondary" sheetId="1" r:id="rId3"/>
  </sheets>
  <definedNames>
    <definedName name="_xlnm._FilterDatabase" localSheetId="2" hidden="1">Secondary!$A$1:$AY$309</definedName>
    <definedName name="_xlnm._FilterDatabase" localSheetId="1" hidden="1">Tracker!$A$1:$AB$305</definedName>
    <definedName name="_xlcn.WorksheetConnection_SecondaryA1AY309" hidden="1">Secondary!$A$1:$AY$309</definedName>
    <definedName name="Slicer_Final_Status">#N/A</definedName>
  </definedNames>
  <calcPr calcId="191029"/>
  <pivotCaches>
    <pivotCache cacheId="311" r:id="rId4"/>
  </pivotCaches>
  <extLst>
    <ext xmlns:x14="http://schemas.microsoft.com/office/spreadsheetml/2009/9/main" uri="{876F7934-8845-4945-9796-88D515C7AA90}">
      <x14:pivotCaches>
        <pivotCache cacheId="305" r:id="rId5"/>
      </x14:pivotCaches>
    </ex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econdary!$A$1:$AY$30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3" l="1"/>
  <c r="C2" i="3"/>
  <c r="U306" i="2"/>
  <c r="U307" i="2"/>
  <c r="U308" i="2"/>
  <c r="U309" i="2"/>
  <c r="U310" i="2"/>
  <c r="U311" i="2"/>
  <c r="U304" i="2"/>
  <c r="U305" i="2"/>
  <c r="U303" i="2"/>
  <c r="U302" i="2"/>
  <c r="U301" i="2"/>
  <c r="U300" i="2"/>
  <c r="U299" i="2"/>
  <c r="U298" i="2"/>
  <c r="U297" i="2"/>
  <c r="U296" i="2"/>
  <c r="U295" i="2"/>
  <c r="U294" i="2"/>
  <c r="U293" i="2"/>
  <c r="U292" i="2"/>
  <c r="U291" i="2"/>
  <c r="U290" i="2"/>
  <c r="U289" i="2"/>
  <c r="U288" i="2"/>
  <c r="U287" i="2"/>
  <c r="U286" i="2"/>
  <c r="U285" i="2"/>
  <c r="U284" i="2"/>
  <c r="U283" i="2"/>
  <c r="U282" i="2"/>
  <c r="U281" i="2"/>
  <c r="U280" i="2"/>
  <c r="U279" i="2"/>
  <c r="U278" i="2"/>
  <c r="U277" i="2"/>
  <c r="U276" i="2"/>
  <c r="U275" i="2"/>
  <c r="U274" i="2"/>
  <c r="U273" i="2"/>
  <c r="U272" i="2"/>
  <c r="U271" i="2"/>
  <c r="U270" i="2"/>
  <c r="U269" i="2"/>
  <c r="U268" i="2"/>
  <c r="U267" i="2"/>
  <c r="U266" i="2"/>
  <c r="U265" i="2"/>
  <c r="U264" i="2"/>
  <c r="U263" i="2"/>
  <c r="U262" i="2"/>
  <c r="U261" i="2"/>
  <c r="U260" i="2"/>
  <c r="U259" i="2"/>
  <c r="U258" i="2"/>
  <c r="U257" i="2"/>
  <c r="U256" i="2"/>
  <c r="U255" i="2"/>
  <c r="U254" i="2"/>
  <c r="U253" i="2"/>
  <c r="U252" i="2"/>
  <c r="U251" i="2"/>
  <c r="U250" i="2"/>
  <c r="U249" i="2"/>
  <c r="U248" i="2"/>
  <c r="U247" i="2"/>
  <c r="U246" i="2"/>
  <c r="U245" i="2"/>
  <c r="U244" i="2"/>
  <c r="U243" i="2"/>
  <c r="U242" i="2"/>
  <c r="U241" i="2"/>
  <c r="U240" i="2"/>
  <c r="U239" i="2"/>
  <c r="U238" i="2"/>
  <c r="U237" i="2"/>
  <c r="U236" i="2"/>
  <c r="U235" i="2"/>
  <c r="U234" i="2"/>
  <c r="U233" i="2"/>
  <c r="U232" i="2"/>
  <c r="U231" i="2"/>
  <c r="U230" i="2"/>
  <c r="U229" i="2"/>
  <c r="U228" i="2"/>
  <c r="U227" i="2"/>
  <c r="U226" i="2"/>
  <c r="U225" i="2"/>
  <c r="U224" i="2"/>
  <c r="U223" i="2"/>
  <c r="U222" i="2"/>
  <c r="U221" i="2"/>
  <c r="U220" i="2"/>
  <c r="U219" i="2"/>
  <c r="U218" i="2"/>
  <c r="U217" i="2"/>
  <c r="U216" i="2"/>
  <c r="U215" i="2"/>
  <c r="U214" i="2"/>
  <c r="U213" i="2"/>
  <c r="U212" i="2"/>
  <c r="U211" i="2"/>
  <c r="U210" i="2"/>
  <c r="U209" i="2"/>
  <c r="U208" i="2"/>
  <c r="U207" i="2"/>
  <c r="U206" i="2"/>
  <c r="U205" i="2"/>
  <c r="U204" i="2"/>
  <c r="U203" i="2"/>
  <c r="U202" i="2"/>
  <c r="U201" i="2"/>
  <c r="U200" i="2"/>
  <c r="U199" i="2"/>
  <c r="U198" i="2"/>
  <c r="U197" i="2"/>
  <c r="U196" i="2"/>
  <c r="U195" i="2"/>
  <c r="U194" i="2"/>
  <c r="U193" i="2"/>
  <c r="U192" i="2"/>
  <c r="U191" i="2"/>
  <c r="U190" i="2"/>
  <c r="U189" i="2"/>
  <c r="U188" i="2"/>
  <c r="U187" i="2"/>
  <c r="U186" i="2"/>
  <c r="U185" i="2"/>
  <c r="U184" i="2"/>
  <c r="U183" i="2"/>
  <c r="U182" i="2"/>
  <c r="U181" i="2"/>
  <c r="U180" i="2"/>
  <c r="U179" i="2"/>
  <c r="U178" i="2"/>
  <c r="U177" i="2"/>
  <c r="U176" i="2"/>
  <c r="U175" i="2"/>
  <c r="U174" i="2"/>
  <c r="U173" i="2"/>
  <c r="U172" i="2"/>
  <c r="U171" i="2"/>
  <c r="U170" i="2"/>
  <c r="U169" i="2"/>
  <c r="U168" i="2"/>
  <c r="U167" i="2"/>
  <c r="U166" i="2"/>
  <c r="U165" i="2"/>
  <c r="U164" i="2"/>
  <c r="U163" i="2"/>
  <c r="U162" i="2"/>
  <c r="U161" i="2"/>
  <c r="U160" i="2"/>
  <c r="U159" i="2"/>
  <c r="U158" i="2"/>
  <c r="U157" i="2"/>
  <c r="U156" i="2"/>
  <c r="U155" i="2"/>
  <c r="U154" i="2"/>
  <c r="U153" i="2"/>
  <c r="U152" i="2"/>
  <c r="U151" i="2"/>
  <c r="U150" i="2"/>
  <c r="U149" i="2"/>
  <c r="U148" i="2"/>
  <c r="U147" i="2"/>
  <c r="U146" i="2"/>
  <c r="U145" i="2"/>
  <c r="U144" i="2"/>
  <c r="U143" i="2"/>
  <c r="U142" i="2"/>
  <c r="U141" i="2"/>
  <c r="U140" i="2"/>
  <c r="U139" i="2"/>
  <c r="U138" i="2"/>
  <c r="U137" i="2"/>
  <c r="U136" i="2"/>
  <c r="U135" i="2"/>
  <c r="U134" i="2"/>
  <c r="U133" i="2"/>
  <c r="U132" i="2"/>
  <c r="U131" i="2"/>
  <c r="U130" i="2"/>
  <c r="U129" i="2"/>
  <c r="U128" i="2"/>
  <c r="U127" i="2"/>
  <c r="U126" i="2"/>
  <c r="U125" i="2"/>
  <c r="U124" i="2"/>
  <c r="U123" i="2"/>
  <c r="U122" i="2"/>
  <c r="U121" i="2"/>
  <c r="U120" i="2"/>
  <c r="U119" i="2"/>
  <c r="U118" i="2"/>
  <c r="U117" i="2"/>
  <c r="U116" i="2"/>
  <c r="U115" i="2"/>
  <c r="U114" i="2"/>
  <c r="U113" i="2"/>
  <c r="U112" i="2"/>
  <c r="U111" i="2"/>
  <c r="U110" i="2"/>
  <c r="U109" i="2"/>
  <c r="U108" i="2"/>
  <c r="U107" i="2"/>
  <c r="U106" i="2"/>
  <c r="U105" i="2"/>
  <c r="U104" i="2"/>
  <c r="U103" i="2"/>
  <c r="U102" i="2"/>
  <c r="U101" i="2"/>
  <c r="U100" i="2"/>
  <c r="U99" i="2"/>
  <c r="U98" i="2"/>
  <c r="U97" i="2"/>
  <c r="U96" i="2"/>
  <c r="U95" i="2"/>
  <c r="U94" i="2"/>
  <c r="U93" i="2"/>
  <c r="U92" i="2"/>
  <c r="U91" i="2"/>
  <c r="U90" i="2"/>
  <c r="U89" i="2"/>
  <c r="U88" i="2"/>
  <c r="U87" i="2"/>
  <c r="U86" i="2"/>
  <c r="U85" i="2"/>
  <c r="U84" i="2"/>
  <c r="U83" i="2"/>
  <c r="U82" i="2"/>
  <c r="U81" i="2"/>
  <c r="U80" i="2"/>
  <c r="U79" i="2"/>
  <c r="U78" i="2"/>
  <c r="U77" i="2"/>
  <c r="U76" i="2"/>
  <c r="U75" i="2"/>
  <c r="U74" i="2"/>
  <c r="U73" i="2"/>
  <c r="U72" i="2"/>
  <c r="U71" i="2"/>
  <c r="U70" i="2"/>
  <c r="U69" i="2"/>
  <c r="U68" i="2"/>
  <c r="U67" i="2"/>
  <c r="U66" i="2"/>
  <c r="U65" i="2"/>
  <c r="U64" i="2"/>
  <c r="U63" i="2"/>
  <c r="U62" i="2"/>
  <c r="U61" i="2"/>
  <c r="U60" i="2"/>
  <c r="U59" i="2"/>
  <c r="U58" i="2"/>
  <c r="U57" i="2"/>
  <c r="U56" i="2"/>
  <c r="U55" i="2"/>
  <c r="U54" i="2"/>
  <c r="U53" i="2"/>
  <c r="U52" i="2"/>
  <c r="U51" i="2"/>
  <c r="U50" i="2"/>
  <c r="U49" i="2"/>
  <c r="U48" i="2"/>
  <c r="U47" i="2"/>
  <c r="U46" i="2"/>
  <c r="U45" i="2"/>
  <c r="U44" i="2"/>
  <c r="U43" i="2"/>
  <c r="U42" i="2"/>
  <c r="U41" i="2"/>
  <c r="U40" i="2"/>
  <c r="U39" i="2"/>
  <c r="U38" i="2"/>
  <c r="U37" i="2"/>
  <c r="U36" i="2"/>
  <c r="U35" i="2"/>
  <c r="U34" i="2"/>
  <c r="U33" i="2"/>
  <c r="U32" i="2"/>
  <c r="U31" i="2"/>
  <c r="U30" i="2"/>
  <c r="U29" i="2"/>
  <c r="U28" i="2"/>
  <c r="U27" i="2"/>
  <c r="U26" i="2"/>
  <c r="U25" i="2"/>
  <c r="U24" i="2"/>
  <c r="U23" i="2"/>
  <c r="U22" i="2"/>
  <c r="U21" i="2"/>
  <c r="U20" i="2"/>
  <c r="U19" i="2"/>
  <c r="U18" i="2"/>
  <c r="U17" i="2"/>
  <c r="U16" i="2"/>
  <c r="U15" i="2"/>
  <c r="U14" i="2"/>
  <c r="U13" i="2"/>
  <c r="U12" i="2"/>
  <c r="U11" i="2"/>
  <c r="U10" i="2"/>
  <c r="U9" i="2"/>
  <c r="U8" i="2"/>
  <c r="U7" i="2"/>
  <c r="U6" i="2"/>
  <c r="U5" i="2"/>
  <c r="U4" i="2"/>
  <c r="U3" i="2"/>
  <c r="U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13BC56-0757-4E14-9024-AEF6B68E927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9A4AA29-D0CA-4852-91BD-612C5218F452}" name="WorksheetConnection_Secondary!$A$1:$AY$309" type="102" refreshedVersion="8" minRefreshableVersion="5">
    <extLst>
      <ext xmlns:x15="http://schemas.microsoft.com/office/spreadsheetml/2010/11/main" uri="{DE250136-89BD-433C-8126-D09CA5730AF9}">
        <x15:connection id="Range" autoDelete="1">
          <x15:rangePr sourceName="_xlcn.WorksheetConnection_SecondaryA1AY309"/>
        </x15:connection>
      </ext>
    </extLst>
  </connection>
</connections>
</file>

<file path=xl/sharedStrings.xml><?xml version="1.0" encoding="utf-8"?>
<sst xmlns="http://schemas.openxmlformats.org/spreadsheetml/2006/main" count="17725" uniqueCount="2196">
  <si>
    <t>Booking Month</t>
  </si>
  <si>
    <t>Actual Sale Month</t>
  </si>
  <si>
    <t>Order Date</t>
  </si>
  <si>
    <t>Cancellation Month</t>
  </si>
  <si>
    <t>Year</t>
  </si>
  <si>
    <t>Last ModiFied Date</t>
  </si>
  <si>
    <t>Business Unit Name</t>
  </si>
  <si>
    <t>Region</t>
  </si>
  <si>
    <t>SO#</t>
  </si>
  <si>
    <t>Dealer Name</t>
  </si>
  <si>
    <t>Dealer Code</t>
  </si>
  <si>
    <t>Hospital Name</t>
  </si>
  <si>
    <t>Sold Through</t>
  </si>
  <si>
    <t>Parent Hospital Code</t>
  </si>
  <si>
    <t>Hospital I Grow Code</t>
  </si>
  <si>
    <t>Hospital Segment</t>
  </si>
  <si>
    <t>Hospital Group</t>
  </si>
  <si>
    <t>City Name</t>
  </si>
  <si>
    <t>Hospital City Tier</t>
  </si>
  <si>
    <t>State Name</t>
  </si>
  <si>
    <t>Status</t>
  </si>
  <si>
    <t>UPN</t>
  </si>
  <si>
    <t>Batch Number</t>
  </si>
  <si>
    <t>Expiry Date</t>
  </si>
  <si>
    <t>Item Description</t>
  </si>
  <si>
    <t>Level 1 Desc</t>
  </si>
  <si>
    <t>Level 2 Desc</t>
  </si>
  <si>
    <t>Level 3 Desc</t>
  </si>
  <si>
    <t>Product Family</t>
  </si>
  <si>
    <t>Product Category</t>
  </si>
  <si>
    <t>Level 5 Desc</t>
  </si>
  <si>
    <t>Unit Price</t>
  </si>
  <si>
    <t>Quantity Sold</t>
  </si>
  <si>
    <t>Gross Value on Unit Price</t>
  </si>
  <si>
    <t>Invoice Number</t>
  </si>
  <si>
    <t>Dealer invoice Date</t>
  </si>
  <si>
    <t>Dealer invoice No.</t>
  </si>
  <si>
    <t>Sales Representative</t>
  </si>
  <si>
    <t>TM Code</t>
  </si>
  <si>
    <t>Reporting Manager</t>
  </si>
  <si>
    <t>Reporting Manager Emp ID</t>
  </si>
  <si>
    <t>Reporting Manager Designation</t>
  </si>
  <si>
    <t>Remarks</t>
  </si>
  <si>
    <t>IDT Remarks</t>
  </si>
  <si>
    <t>IDT Approved By</t>
  </si>
  <si>
    <t>Dealer Cancel Remark</t>
  </si>
  <si>
    <t>Cancellation Approver Remark</t>
  </si>
  <si>
    <t>Pending WithName</t>
  </si>
  <si>
    <t>December,2025</t>
  </si>
  <si>
    <t>03-12-2025</t>
  </si>
  <si>
    <t/>
  </si>
  <si>
    <t>2025</t>
  </si>
  <si>
    <t>15-12-2025</t>
  </si>
  <si>
    <t>INTERVENTIONAL CARDIOLOGY</t>
  </si>
  <si>
    <t>West</t>
  </si>
  <si>
    <t>SO-J. /INT/SET/2025/12/39802</t>
  </si>
  <si>
    <t>J. S. MEDITECH ENTERPRISES</t>
  </si>
  <si>
    <t>625305</t>
  </si>
  <si>
    <t>SETH NANDLAL DHOOT HOSPITAL, AURANGABAD</t>
  </si>
  <si>
    <t>SETH NANDLAL DHOOT HOSPITAL LIMITED</t>
  </si>
  <si>
    <t>ACC000731</t>
  </si>
  <si>
    <t>PRIVATE</t>
  </si>
  <si>
    <t>PRIVATE GROUP</t>
  </si>
  <si>
    <t>AURANGABAD</t>
  </si>
  <si>
    <t>1</t>
  </si>
  <si>
    <t>MAHARASHTRA</t>
  </si>
  <si>
    <t>Closed</t>
  </si>
  <si>
    <t>H7493941724300</t>
  </si>
  <si>
    <t>35184078</t>
  </si>
  <si>
    <t>31-10-2026</t>
  </si>
  <si>
    <t>SYNERGY XD MR OUS 3.00X24MM</t>
  </si>
  <si>
    <t>Interventional Cardiology</t>
  </si>
  <si>
    <t>STENTS</t>
  </si>
  <si>
    <t>DES BIOABSORBABLE</t>
  </si>
  <si>
    <t>NG SYNERGY MR OUS</t>
  </si>
  <si>
    <t>CORE</t>
  </si>
  <si>
    <t>NG SYN MR OUS 24MM</t>
  </si>
  <si>
    <t>7460312443</t>
  </si>
  <si>
    <t>JS/07632/25-26</t>
  </si>
  <si>
    <t>Pahade, Vivek</t>
  </si>
  <si>
    <t>Khan, Shoeb Munir</t>
  </si>
  <si>
    <t>Regional Manager</t>
  </si>
  <si>
    <t>SO-J. /INT/SET/2025/12/39803</t>
  </si>
  <si>
    <t>H7493927606300</t>
  </si>
  <si>
    <t>35373905</t>
  </si>
  <si>
    <t>30-11-2026</t>
  </si>
  <si>
    <t>NC EMERGE MR OUS 3.00MM X 6MM</t>
  </si>
  <si>
    <t>BALLOON CATHETERS</t>
  </si>
  <si>
    <t>MONORAIL HYBRID</t>
  </si>
  <si>
    <t>NC EMERGE MONORAIL</t>
  </si>
  <si>
    <t>NCEMERGEMR OUS 6MM</t>
  </si>
  <si>
    <t>7460322672</t>
  </si>
  <si>
    <t>JS/07635/25-26</t>
  </si>
  <si>
    <t>H7493927620250</t>
  </si>
  <si>
    <t>36580753</t>
  </si>
  <si>
    <t>31-05-2027</t>
  </si>
  <si>
    <t>NC EMERGE MR OUS 2.50MM X 20MM</t>
  </si>
  <si>
    <t>NCEMERGEMR OUS 20MM</t>
  </si>
  <si>
    <t>7460328304</t>
  </si>
  <si>
    <t>04-12-2025</t>
  </si>
  <si>
    <t>SO-J. /INT/SET/2025/12/39846</t>
  </si>
  <si>
    <t>H7493892809200</t>
  </si>
  <si>
    <t>32661470</t>
  </si>
  <si>
    <t>FG MAVERICK 2 MR 2.00MM X 9MM</t>
  </si>
  <si>
    <t>MONORAIL PRE-DILITAT</t>
  </si>
  <si>
    <t>MAVERICK 2</t>
  </si>
  <si>
    <t>MAVERICK 2(MON) 9MM</t>
  </si>
  <si>
    <t>7460275280</t>
  </si>
  <si>
    <t>JS/07660/25-26</t>
  </si>
  <si>
    <t>34593692</t>
  </si>
  <si>
    <t>31-08-2026</t>
  </si>
  <si>
    <t>7460315210</t>
  </si>
  <si>
    <t>SO-J. /INT/SET/2025/12/39847</t>
  </si>
  <si>
    <t>H7493927612400</t>
  </si>
  <si>
    <t>36737531</t>
  </si>
  <si>
    <t>30-06-2027</t>
  </si>
  <si>
    <t>NC EMERGE MR OUS 4.00MM X 12MM</t>
  </si>
  <si>
    <t>NCEMERGEMR OUS 12MM</t>
  </si>
  <si>
    <t>7460332298</t>
  </si>
  <si>
    <t>JS/07661/25-26</t>
  </si>
  <si>
    <t>SO-J. /INT/SET/2025/12/39848</t>
  </si>
  <si>
    <t>H7493927615320</t>
  </si>
  <si>
    <t>36580732</t>
  </si>
  <si>
    <t>NC EMERGE MR OUS 3.25MM X 15MM</t>
  </si>
  <si>
    <t>NCEMERGEMR OUS 15MM</t>
  </si>
  <si>
    <t>JS/07676/25-26</t>
  </si>
  <si>
    <t>SO-J. /INT/SET/2025/12/39849</t>
  </si>
  <si>
    <t>H7493925132250</t>
  </si>
  <si>
    <t>35629487</t>
  </si>
  <si>
    <t>31-01-2027</t>
  </si>
  <si>
    <t>PROMUS PREMIER OUS MR 32 X 2.50</t>
  </si>
  <si>
    <t>DES EVEROLIMUS</t>
  </si>
  <si>
    <t>PROMUS PREMIER MR</t>
  </si>
  <si>
    <t>P PREMIER MR32MM OUS</t>
  </si>
  <si>
    <t>7460326576</t>
  </si>
  <si>
    <t>JS/07677/25-26</t>
  </si>
  <si>
    <t>H7493925138270</t>
  </si>
  <si>
    <t>35997738</t>
  </si>
  <si>
    <t>28-02-2027</t>
  </si>
  <si>
    <t>PROMUS PREMIER OUS MR 38 X 2.75</t>
  </si>
  <si>
    <t>P PREMIER MR38MM OUS</t>
  </si>
  <si>
    <t>7460330714</t>
  </si>
  <si>
    <t>35167121</t>
  </si>
  <si>
    <t>SO-J. /INT/SET/2025/12/39850</t>
  </si>
  <si>
    <t>H7493892820200</t>
  </si>
  <si>
    <t>35232362</t>
  </si>
  <si>
    <t>30-11-2027</t>
  </si>
  <si>
    <t>FG MAVERICK 2 MR 2.00MM X 20MM</t>
  </si>
  <si>
    <t>MAVERICK 2(MON) 20MM</t>
  </si>
  <si>
    <t>7460321707</t>
  </si>
  <si>
    <t>JS/07678/25-26</t>
  </si>
  <si>
    <t>H7493927620270</t>
  </si>
  <si>
    <t>36580760</t>
  </si>
  <si>
    <t>NC EMERGE MR OUS 2.75MM X 20MM</t>
  </si>
  <si>
    <t>7460330708</t>
  </si>
  <si>
    <t>H7493941748250</t>
  </si>
  <si>
    <t>35409874</t>
  </si>
  <si>
    <t>SYNERGY XD MR OUS 2.50X48MM</t>
  </si>
  <si>
    <t>NG SYN MR OUS 48MM</t>
  </si>
  <si>
    <t>05-12-2025</t>
  </si>
  <si>
    <t>SO-J. /INT/SET/2025/12/39854</t>
  </si>
  <si>
    <t>36871732</t>
  </si>
  <si>
    <t>31-07-2027</t>
  </si>
  <si>
    <t>7460330941</t>
  </si>
  <si>
    <t>JS/07704/25-26</t>
  </si>
  <si>
    <t>SO-J. /INT/SET/2025/12/39855</t>
  </si>
  <si>
    <t>H7493892815250</t>
  </si>
  <si>
    <t>37000428</t>
  </si>
  <si>
    <t>31-07-2028</t>
  </si>
  <si>
    <t>FG MAVERICK 2 MR 2.50MM X 15MM</t>
  </si>
  <si>
    <t>MAVERICK 2(MON) 15MM</t>
  </si>
  <si>
    <t>7460337073</t>
  </si>
  <si>
    <t>JS/07705/25-26</t>
  </si>
  <si>
    <t>22-12-2025</t>
  </si>
  <si>
    <t>PERI INT/VASC SURG</t>
  </si>
  <si>
    <t>SO-MED/PER/SET/2025/12/5099</t>
  </si>
  <si>
    <t>MEDI-TECH PRODUCT SOLUTIONS</t>
  </si>
  <si>
    <t>741233</t>
  </si>
  <si>
    <t>DHOOT HOSPITAL AURANGABAD</t>
  </si>
  <si>
    <t>M0013822030</t>
  </si>
  <si>
    <t>35273429</t>
  </si>
  <si>
    <t>VORTX-18 DIAMOND 3MM/3.3 MM</t>
  </si>
  <si>
    <t>EMBOLICS</t>
  </si>
  <si>
    <t>PUSHABLE/INJECTABLE</t>
  </si>
  <si>
    <t>18 PUSHABLE COILS</t>
  </si>
  <si>
    <t>VORTX DIAMOND (SGL)</t>
  </si>
  <si>
    <t>7460326233</t>
  </si>
  <si>
    <t>S/P/001325</t>
  </si>
  <si>
    <t>Korulkar, Parimal</t>
  </si>
  <si>
    <t>Panche, Amar</t>
  </si>
  <si>
    <t>09-12-2025</t>
  </si>
  <si>
    <t>SO-J. /INT/SET/2025/12/39975</t>
  </si>
  <si>
    <t>37035209</t>
  </si>
  <si>
    <t>7460337689</t>
  </si>
  <si>
    <t>JS/07830/25-26</t>
  </si>
  <si>
    <t>SO-J. /INT/SET/2025/12/39976</t>
  </si>
  <si>
    <t>JS/07831/25-26</t>
  </si>
  <si>
    <t>H7493941732270</t>
  </si>
  <si>
    <t>34116886</t>
  </si>
  <si>
    <t>31-05-2026</t>
  </si>
  <si>
    <t>SYNERGY XD MR OUS 2.75X32MM</t>
  </si>
  <si>
    <t>NG SYN MR OUS 32MM</t>
  </si>
  <si>
    <t>7460295260</t>
  </si>
  <si>
    <t>SO-J. /INT/SET/2025/12/39977</t>
  </si>
  <si>
    <t>JS/07832/25-26</t>
  </si>
  <si>
    <t>H7493941724350</t>
  </si>
  <si>
    <t>36422597</t>
  </si>
  <si>
    <t>30-04-2027</t>
  </si>
  <si>
    <t>SYNERGY XD MR OUS 3.50X24MM</t>
  </si>
  <si>
    <t>7460337075</t>
  </si>
  <si>
    <t>10-12-2025</t>
  </si>
  <si>
    <t>SO-J. /INT/SET/2025/12/39986</t>
  </si>
  <si>
    <t>H7493927612350</t>
  </si>
  <si>
    <t>36317698</t>
  </si>
  <si>
    <t>NC EMERGE MR OUS 3.50MM X 12MM</t>
  </si>
  <si>
    <t>JS/07883/25-26</t>
  </si>
  <si>
    <t>H7493927615270</t>
  </si>
  <si>
    <t>36153763</t>
  </si>
  <si>
    <t>31-03-2027</t>
  </si>
  <si>
    <t>NC EMERGE MR OUS 2.75MM X 15MM</t>
  </si>
  <si>
    <t>H7493941738300</t>
  </si>
  <si>
    <t>36407779</t>
  </si>
  <si>
    <t>SYNERGY XD MR OUS 3.00X38MM</t>
  </si>
  <si>
    <t>NG SYN MR OUS 38MM</t>
  </si>
  <si>
    <t>7460338986</t>
  </si>
  <si>
    <t>H7493942720350</t>
  </si>
  <si>
    <t>34169260</t>
  </si>
  <si>
    <t>S MEGATRON OUS MR 3.50 X 20MM</t>
  </si>
  <si>
    <t>SYNERGY MEGATRON MR</t>
  </si>
  <si>
    <t>MEGATRON MR 20MM OUS</t>
  </si>
  <si>
    <t>7460306136</t>
  </si>
  <si>
    <t>SO-J. /INT/SET/2025/12/39987</t>
  </si>
  <si>
    <t>JS/07884/25-26</t>
  </si>
  <si>
    <t>13-12-2025</t>
  </si>
  <si>
    <t>28-12-2025</t>
  </si>
  <si>
    <t>SO-J. /INT/SET/2025/12/40064</t>
  </si>
  <si>
    <t>JS/07993/25-26</t>
  </si>
  <si>
    <t>SO-J. /INT/SET/2025/12/40065</t>
  </si>
  <si>
    <t>JS/07994/25-26</t>
  </si>
  <si>
    <t>SO-J. /INT/SET/2025/12/40066</t>
  </si>
  <si>
    <t>H7493927608270</t>
  </si>
  <si>
    <t>35680774</t>
  </si>
  <si>
    <t>NC EMERGE MR OUS 2.75MM X 8MM</t>
  </si>
  <si>
    <t>NCEMERGEMR OUS 8MM</t>
  </si>
  <si>
    <t>JS/07995/25-26</t>
  </si>
  <si>
    <t>SO-J. /INT/SET/2025/12/40067</t>
  </si>
  <si>
    <t>H74939403103000</t>
  </si>
  <si>
    <t>36586617</t>
  </si>
  <si>
    <t>WOLVERINE CB MR OUS 10MMX3.00MM</t>
  </si>
  <si>
    <t>CUTTING BALLOON CATH</t>
  </si>
  <si>
    <t>CB MONORAIL</t>
  </si>
  <si>
    <t>WOLVERINE CB MR OUS</t>
  </si>
  <si>
    <t>WOLVERINE OUS 10MM</t>
  </si>
  <si>
    <t>7460330711</t>
  </si>
  <si>
    <t>JS/07996/25-26</t>
  </si>
  <si>
    <t>H7493941716300</t>
  </si>
  <si>
    <t>35835424</t>
  </si>
  <si>
    <t>SYNERGY XD MR OUS 3.00X16MM</t>
  </si>
  <si>
    <t>NG SYN MR OUS 16MM</t>
  </si>
  <si>
    <t>SO-J. /INT/SET/2025/12/40068</t>
  </si>
  <si>
    <t>H7493892812200</t>
  </si>
  <si>
    <t>37065297</t>
  </si>
  <si>
    <t>FG MAVERICK 2 MR 2.00MM X 12MM</t>
  </si>
  <si>
    <t>MAVERICK 2(MON) 12MM</t>
  </si>
  <si>
    <t>JS/07997/25-26</t>
  </si>
  <si>
    <t>SO-J. /INT/SET/2025/12/40069</t>
  </si>
  <si>
    <t>JS/08014/25-26</t>
  </si>
  <si>
    <t>SO-J. /INT/SET/2025/12/40070</t>
  </si>
  <si>
    <t>JS/08015/25-26</t>
  </si>
  <si>
    <t>SO-J. /INT/SET/2025/12/40378</t>
  </si>
  <si>
    <t>H7493927606270</t>
  </si>
  <si>
    <t>34634889</t>
  </si>
  <si>
    <t>NC EMERGE MR OUS 2.75MM X 6MM</t>
  </si>
  <si>
    <t>7460296783</t>
  </si>
  <si>
    <t>JS/08329/25-26</t>
  </si>
  <si>
    <t>SO-J. /INT/SET/2025/12/40379</t>
  </si>
  <si>
    <t>JS/08330/25-26</t>
  </si>
  <si>
    <t>16-12-2025</t>
  </si>
  <si>
    <t>SO-J. /INT/SET/2025/12/40392</t>
  </si>
  <si>
    <t>36988046</t>
  </si>
  <si>
    <t>7460334648</t>
  </si>
  <si>
    <t>JS/08395/25-26</t>
  </si>
  <si>
    <t>SO-MED/PER/SET/2025/12/5131</t>
  </si>
  <si>
    <t>M0013726040</t>
  </si>
  <si>
    <t>34429584</t>
  </si>
  <si>
    <t>2D HELICAL 35 6 MM X 40 MM (1)</t>
  </si>
  <si>
    <t>.035 PUSHABLE COILS</t>
  </si>
  <si>
    <t>.035 COILS – (SGL)</t>
  </si>
  <si>
    <t>7460305805</t>
  </si>
  <si>
    <t>S/P/001387</t>
  </si>
  <si>
    <t>M0013727040</t>
  </si>
  <si>
    <t>34348969</t>
  </si>
  <si>
    <t>2D HELICAL 35 7 MM X 40 MM (1)</t>
  </si>
  <si>
    <t>7460309461</t>
  </si>
  <si>
    <t>17-12-2025</t>
  </si>
  <si>
    <t>SO-J. /INT/SET/2025/12/40425</t>
  </si>
  <si>
    <t>JS/08419/25-26</t>
  </si>
  <si>
    <t>H7493941720300</t>
  </si>
  <si>
    <t>36490282</t>
  </si>
  <si>
    <t>SYNERGY XD MR OUS 3.00X20MM</t>
  </si>
  <si>
    <t>NG SYN MR OUS 20MM</t>
  </si>
  <si>
    <t>H7493941738250</t>
  </si>
  <si>
    <t>35167456</t>
  </si>
  <si>
    <t>SYNERGY XD MR OUS 2.50X38MM</t>
  </si>
  <si>
    <t>7460308608</t>
  </si>
  <si>
    <t>19-12-2025</t>
  </si>
  <si>
    <t>SO-J. /INT/SET/2025/12/40451</t>
  </si>
  <si>
    <t>35232356</t>
  </si>
  <si>
    <t>7460300522</t>
  </si>
  <si>
    <t>JS/08481/25-26</t>
  </si>
  <si>
    <t>SO-J. /INT/SET/2025/12/40452</t>
  </si>
  <si>
    <t>JS/08494/25-26</t>
  </si>
  <si>
    <t>H74939403152500</t>
  </si>
  <si>
    <t>35309393</t>
  </si>
  <si>
    <t>WOLVERINE CB MR OUS 15MMX2.50MM</t>
  </si>
  <si>
    <t>WOLVERINE OUS 15MM</t>
  </si>
  <si>
    <t>7460310746</t>
  </si>
  <si>
    <t>H7493941720270</t>
  </si>
  <si>
    <t>33672635</t>
  </si>
  <si>
    <t>28-02-2026</t>
  </si>
  <si>
    <t>SYNERGY XD MR OUS 2.75X20MM</t>
  </si>
  <si>
    <t>7460294360</t>
  </si>
  <si>
    <t>35609786</t>
  </si>
  <si>
    <t>7460324066</t>
  </si>
  <si>
    <t>20-12-2025</t>
  </si>
  <si>
    <t>SO-J. /INT/SET/2025/12/40455</t>
  </si>
  <si>
    <t>JS/08533/25-26</t>
  </si>
  <si>
    <t>02-01-2026</t>
  </si>
  <si>
    <t>SO-J. /INT/SET/2026/01/40481</t>
  </si>
  <si>
    <t>H7493927606400</t>
  </si>
  <si>
    <t>35712210</t>
  </si>
  <si>
    <t>NC EMERGE MR OUS 4.00MM X 6MM</t>
  </si>
  <si>
    <t>JS/08585/25-26</t>
  </si>
  <si>
    <t>H7493941728300</t>
  </si>
  <si>
    <t>36469403</t>
  </si>
  <si>
    <t>SYNERGY XD MR OUS 3.00X28MM</t>
  </si>
  <si>
    <t>NG SYN MR OUS 28MM</t>
  </si>
  <si>
    <t>H7493942732350</t>
  </si>
  <si>
    <t>36013642</t>
  </si>
  <si>
    <t>S MEGATRON OUS MR 3.50 X 32MM</t>
  </si>
  <si>
    <t>MEGATRON MR 32MM OUS</t>
  </si>
  <si>
    <t>SO-J. /INT/SET/2026/01/40482</t>
  </si>
  <si>
    <t>H7493941732300</t>
  </si>
  <si>
    <t>35465056</t>
  </si>
  <si>
    <t>SYNERGY XD MR OUS 3.00X32MM</t>
  </si>
  <si>
    <t>7460321708</t>
  </si>
  <si>
    <t>JS/08586/25-26</t>
  </si>
  <si>
    <t>SO-J. /INT/SET/2026/01/40483</t>
  </si>
  <si>
    <t>H7493892815150</t>
  </si>
  <si>
    <t>36248757</t>
  </si>
  <si>
    <t>30-04-2028</t>
  </si>
  <si>
    <t>FG MAVERICK 2 MR 1.50MM X 15MM</t>
  </si>
  <si>
    <t>7460325599</t>
  </si>
  <si>
    <t>JS/08591/25-26</t>
  </si>
  <si>
    <t>H74939222403010</t>
  </si>
  <si>
    <t>00646H24</t>
  </si>
  <si>
    <t>31-01-2026</t>
  </si>
  <si>
    <t>AGENT DCB MR 4.00 MM X 30.00 MM</t>
  </si>
  <si>
    <t>DRUG ELUTING BALLOON</t>
  </si>
  <si>
    <t>DEB MONORAIL</t>
  </si>
  <si>
    <t>AGENT MR</t>
  </si>
  <si>
    <t>AGENT-COMMERCIAL</t>
  </si>
  <si>
    <t>7460294401</t>
  </si>
  <si>
    <t>H7495181360</t>
  </si>
  <si>
    <t>36265238</t>
  </si>
  <si>
    <t>OPTICROSS 6 BAGLESS NON-CE</t>
  </si>
  <si>
    <t>IMAGING</t>
  </si>
  <si>
    <t>IVUS DISPOSABLES</t>
  </si>
  <si>
    <t>CORONARY CVIS CATH</t>
  </si>
  <si>
    <t>OPTICROSS</t>
  </si>
  <si>
    <t>7460336546</t>
  </si>
  <si>
    <t>23-12-2025</t>
  </si>
  <si>
    <t>SO-J. /INT/SET/2026/01/40522</t>
  </si>
  <si>
    <t>JS/08638/25-26</t>
  </si>
  <si>
    <t>24-12-2025</t>
  </si>
  <si>
    <t>SO-J. /INT/SET/2026/01/40527</t>
  </si>
  <si>
    <t>H7493941728250</t>
  </si>
  <si>
    <t>35340677</t>
  </si>
  <si>
    <t>SYNERGY XD MR OUS 2.50X28MM</t>
  </si>
  <si>
    <t>7460314934</t>
  </si>
  <si>
    <t>JS/08646/25-26</t>
  </si>
  <si>
    <t>H7493941728350</t>
  </si>
  <si>
    <t>35272762</t>
  </si>
  <si>
    <t>SYNERGY XD MR OUS 3.50X28MM</t>
  </si>
  <si>
    <t>SO-J. /INT/SET/2026/01/40528</t>
  </si>
  <si>
    <t>JS/08651/25-26</t>
  </si>
  <si>
    <t>26-12-2025</t>
  </si>
  <si>
    <t>08-01-2026</t>
  </si>
  <si>
    <t>SO-J. /INT/SET/2026/01/40570</t>
  </si>
  <si>
    <t>36262019</t>
  </si>
  <si>
    <t>7460322799</t>
  </si>
  <si>
    <t>JS/08701/25-26</t>
  </si>
  <si>
    <t>29-12-2025</t>
  </si>
  <si>
    <t>SO-J. /INT/SET/2026/01/40610</t>
  </si>
  <si>
    <t>36579944</t>
  </si>
  <si>
    <t>31-05-2028</t>
  </si>
  <si>
    <t>JS/08756/25-26</t>
  </si>
  <si>
    <t>H7493941724220</t>
  </si>
  <si>
    <t>36141692</t>
  </si>
  <si>
    <t>SYNERGY XD MR OUS 2.25X24MM</t>
  </si>
  <si>
    <t>SO-J. /INT/SET/2026/01/40611</t>
  </si>
  <si>
    <t>37054630</t>
  </si>
  <si>
    <t>7460340395</t>
  </si>
  <si>
    <t>JS/08760/25-26</t>
  </si>
  <si>
    <t>30-12-2025</t>
  </si>
  <si>
    <t>SO-J. /INT/SET/2026/01/40619</t>
  </si>
  <si>
    <t>H7493941738270</t>
  </si>
  <si>
    <t>36603652</t>
  </si>
  <si>
    <t>SYNERGY XD MR OUS 2.75X38MM</t>
  </si>
  <si>
    <t>7460338345</t>
  </si>
  <si>
    <t>JS/08802/25-26</t>
  </si>
  <si>
    <t>SO-J. /INT/SET/2026/01/40620</t>
  </si>
  <si>
    <t>JS/08816/25-26</t>
  </si>
  <si>
    <t>H74939222253010</t>
  </si>
  <si>
    <t>03049H25</t>
  </si>
  <si>
    <t>AGENT DCB MR 2.50 MM X 30.00 MM</t>
  </si>
  <si>
    <t>7460332774</t>
  </si>
  <si>
    <t>H7493925124300</t>
  </si>
  <si>
    <t>35792049</t>
  </si>
  <si>
    <t>PROMUS PREMIER OUS MR 24 X 3.00</t>
  </si>
  <si>
    <t>P PREMIER MR24MM OUS</t>
  </si>
  <si>
    <t>7460332114</t>
  </si>
  <si>
    <t>SO-J. /INT/SET/2026/01/40621</t>
  </si>
  <si>
    <t>JS/08823/25-26</t>
  </si>
  <si>
    <t>SO-J. /INT/SET/2026/01/40622</t>
  </si>
  <si>
    <t>JS/08824/25-26</t>
  </si>
  <si>
    <t>H7493941748350</t>
  </si>
  <si>
    <t>33987519</t>
  </si>
  <si>
    <t>30-04-2026</t>
  </si>
  <si>
    <t>SYNERGY XD MR OUS 3.50X48MM</t>
  </si>
  <si>
    <t>09-01-2026</t>
  </si>
  <si>
    <t>SO-J. /INT/SET/2026/01/40913</t>
  </si>
  <si>
    <t>H7493941720250</t>
  </si>
  <si>
    <t>34995073</t>
  </si>
  <si>
    <t>30-09-2026</t>
  </si>
  <si>
    <t>SYNERGY XD MR OUS 2.50X20MM</t>
  </si>
  <si>
    <t>7460342597</t>
  </si>
  <si>
    <t>31-12-2025</t>
  </si>
  <si>
    <t>SO-J. /INT/SET/2026/01/40848</t>
  </si>
  <si>
    <t>35669707</t>
  </si>
  <si>
    <t>JS/08978/25-26</t>
  </si>
  <si>
    <t>November,2025</t>
  </si>
  <si>
    <t>01-11-2025</t>
  </si>
  <si>
    <t>07-11-2025</t>
  </si>
  <si>
    <t>SO-J. /INT/SET/2025/11/38916</t>
  </si>
  <si>
    <t>36353567</t>
  </si>
  <si>
    <t>JS/06571/25-26</t>
  </si>
  <si>
    <t>03-11-2025</t>
  </si>
  <si>
    <t>SO-J. /INT/SET/2025/11/38945</t>
  </si>
  <si>
    <t>36729109</t>
  </si>
  <si>
    <t>30-06-2028</t>
  </si>
  <si>
    <t>JS/06589/25-26</t>
  </si>
  <si>
    <t>34296577</t>
  </si>
  <si>
    <t>30-06-2026</t>
  </si>
  <si>
    <t>7460293515</t>
  </si>
  <si>
    <t>17-11-2025</t>
  </si>
  <si>
    <t>SO-J. /INT/SET/2025/11/39169</t>
  </si>
  <si>
    <t>H7493941748270</t>
  </si>
  <si>
    <t>34475055</t>
  </si>
  <si>
    <t>31-07-2026</t>
  </si>
  <si>
    <t>SYNERGY XD MR OUS 2.75X48MM</t>
  </si>
  <si>
    <t>05-11-2025</t>
  </si>
  <si>
    <t>SO-J. /INT/SET/2025/11/39006</t>
  </si>
  <si>
    <t>H7493927608250</t>
  </si>
  <si>
    <t>32897167</t>
  </si>
  <si>
    <t>30-11-2025</t>
  </si>
  <si>
    <t>NC EMERGE MR OUS 2.50MM X 8MM</t>
  </si>
  <si>
    <t>7460271553</t>
  </si>
  <si>
    <t>JS/06700/25-26</t>
  </si>
  <si>
    <t>SO-J. /INT/SET/2025/11/39007</t>
  </si>
  <si>
    <t>36729117</t>
  </si>
  <si>
    <t>JS/06705/25-26</t>
  </si>
  <si>
    <t>H7493927615300</t>
  </si>
  <si>
    <t>36317719</t>
  </si>
  <si>
    <t>NC EMERGE MR OUS 3.00MM X 15MM</t>
  </si>
  <si>
    <t>06-11-2025</t>
  </si>
  <si>
    <t>24-11-2025</t>
  </si>
  <si>
    <t>SO-J. /INT/SET/2025/11/39185</t>
  </si>
  <si>
    <t>H7493927615400</t>
  </si>
  <si>
    <t>36978252</t>
  </si>
  <si>
    <t>NC EMERGE MR OUS 4.00MM X 15MM</t>
  </si>
  <si>
    <t>JS/06719/25-26</t>
  </si>
  <si>
    <t>SO-J. /INT/SET/2025/11/39186</t>
  </si>
  <si>
    <t>35280014</t>
  </si>
  <si>
    <t>JS/06720/25-26</t>
  </si>
  <si>
    <t>H74939222252010</t>
  </si>
  <si>
    <t>11011H24</t>
  </si>
  <si>
    <t>AGENT DCB MR 2.50 MM X 20.00 MM</t>
  </si>
  <si>
    <t>7460322603</t>
  </si>
  <si>
    <t>SO-J. /INT/SET/2025/11/39187</t>
  </si>
  <si>
    <t>H7493892815200</t>
  </si>
  <si>
    <t>34963842</t>
  </si>
  <si>
    <t>31-10-2027</t>
  </si>
  <si>
    <t>FG MAVERICK 2 MR 2.00MM X 15MM</t>
  </si>
  <si>
    <t>7460306037</t>
  </si>
  <si>
    <t>JS/06721/25-26</t>
  </si>
  <si>
    <t>36317714</t>
  </si>
  <si>
    <t>SO-J. /INT/SET/2025/11/39208</t>
  </si>
  <si>
    <t>H7493927615250</t>
  </si>
  <si>
    <t>36396385</t>
  </si>
  <si>
    <t>NC EMERGE MR OUS 2.50MM X 15MM</t>
  </si>
  <si>
    <t>JS/06747/25-26</t>
  </si>
  <si>
    <t>H7493927620350</t>
  </si>
  <si>
    <t>37317376</t>
  </si>
  <si>
    <t>31-08-2027</t>
  </si>
  <si>
    <t>NC EMERGE MR OUS 3.50MM X 20MM</t>
  </si>
  <si>
    <t>7460333673</t>
  </si>
  <si>
    <t>36265921</t>
  </si>
  <si>
    <t>7460333672</t>
  </si>
  <si>
    <t>SO-J. /INT/SET/2025/11/39209</t>
  </si>
  <si>
    <t>36640410</t>
  </si>
  <si>
    <t>JS/06748/25-26</t>
  </si>
  <si>
    <t>H7493927620300</t>
  </si>
  <si>
    <t>36640419</t>
  </si>
  <si>
    <t>NC EMERGE MR OUS 3.00MM X 20MM</t>
  </si>
  <si>
    <t>SO-J. /INT/SET/2025/11/39210</t>
  </si>
  <si>
    <t>H7493892812250</t>
  </si>
  <si>
    <t>34940844</t>
  </si>
  <si>
    <t>30-09-2027</t>
  </si>
  <si>
    <t>FG MAVERICK 2 MR 2.50MM X 12MM</t>
  </si>
  <si>
    <t>7460300907</t>
  </si>
  <si>
    <t>JS/06749/25-26</t>
  </si>
  <si>
    <t>35712203</t>
  </si>
  <si>
    <t>H7493941716250</t>
  </si>
  <si>
    <t>35741734</t>
  </si>
  <si>
    <t>SYNERGY XD MR OUS 2.50X16MM</t>
  </si>
  <si>
    <t>H7493941728270</t>
  </si>
  <si>
    <t>35732854</t>
  </si>
  <si>
    <t>SYNERGY XD MR OUS 2.75X28MM</t>
  </si>
  <si>
    <t>35465126</t>
  </si>
  <si>
    <t>10-11-2025</t>
  </si>
  <si>
    <t>SO-J. /INT/SET/2025/11/39252</t>
  </si>
  <si>
    <t>JS/06810/25-26</t>
  </si>
  <si>
    <t>12-11-2025</t>
  </si>
  <si>
    <t>SO-J. /INT/SET/2025/11/39302</t>
  </si>
  <si>
    <t>H7493927612300</t>
  </si>
  <si>
    <t>36261944</t>
  </si>
  <si>
    <t>NC EMERGE MR OUS 3.00MM X 12MM</t>
  </si>
  <si>
    <t>JS/06887/25-26</t>
  </si>
  <si>
    <t>SO-J. /INT/SET/2025/11/39303</t>
  </si>
  <si>
    <t>37025888</t>
  </si>
  <si>
    <t>JS/06889/25-26</t>
  </si>
  <si>
    <t>H74939222203010</t>
  </si>
  <si>
    <t>03380H25</t>
  </si>
  <si>
    <t>AGENT DCB MR 2.00 MM X 30.00 MM</t>
  </si>
  <si>
    <t>SO-J. /INT/SET/2025/11/39304</t>
  </si>
  <si>
    <t>JS/06890/25-26</t>
  </si>
  <si>
    <t>SO-J. /INT/SET/2025/11/39305</t>
  </si>
  <si>
    <t>H7493927612250</t>
  </si>
  <si>
    <t>36396339</t>
  </si>
  <si>
    <t>NC EMERGE MR OUS 2.50MM X 12MM</t>
  </si>
  <si>
    <t>JS/06893/25-26</t>
  </si>
  <si>
    <t>SO-J. /INT/SET/2025/11/39306</t>
  </si>
  <si>
    <t>JS/06897/25-26</t>
  </si>
  <si>
    <t>28-11-2025</t>
  </si>
  <si>
    <t>SO-J. /INT/SET/2025/11/39335</t>
  </si>
  <si>
    <t>34985631</t>
  </si>
  <si>
    <t>7460309876</t>
  </si>
  <si>
    <t>01-12-2025</t>
  </si>
  <si>
    <t>SO-J. /INT/SET/2025/11/39344</t>
  </si>
  <si>
    <t>34039601</t>
  </si>
  <si>
    <t>13-11-2025</t>
  </si>
  <si>
    <t>SO-J. /INT/SET/2025/11/39323</t>
  </si>
  <si>
    <t>36173105</t>
  </si>
  <si>
    <t>JS/06943/25-26</t>
  </si>
  <si>
    <t>14-11-2025</t>
  </si>
  <si>
    <t>SO-J. /INT/SET/2025/11/39345</t>
  </si>
  <si>
    <t>JS/06959/25-26</t>
  </si>
  <si>
    <t>SO-J. /INT/SET/2025/11/39346</t>
  </si>
  <si>
    <t>36781431</t>
  </si>
  <si>
    <t>JS/06974/25-26</t>
  </si>
  <si>
    <t>SO-J. /INT/SET/2025/11/39347</t>
  </si>
  <si>
    <t>H74939403153000</t>
  </si>
  <si>
    <t>36346412</t>
  </si>
  <si>
    <t>WOLVERINE CB MR OUS 15MMX3.00MM</t>
  </si>
  <si>
    <t>JS/06975/25-26</t>
  </si>
  <si>
    <t>15-11-2025</t>
  </si>
  <si>
    <t>SO-J. /INT/SET/2025/11/39388</t>
  </si>
  <si>
    <t>JS/06985/25-26</t>
  </si>
  <si>
    <t>SO-J. /INT/SET/2025/11/39389</t>
  </si>
  <si>
    <t>36317687</t>
  </si>
  <si>
    <t>7460331731</t>
  </si>
  <si>
    <t>JS/06990/25-26</t>
  </si>
  <si>
    <t>SO-J. /INT/SET/2025/11/39390</t>
  </si>
  <si>
    <t>H7493927615600</t>
  </si>
  <si>
    <t>33724041</t>
  </si>
  <si>
    <t>31-03-2026</t>
  </si>
  <si>
    <t>NC EMERGE MR OUS 6.00MM X 15MM</t>
  </si>
  <si>
    <t>7460293517</t>
  </si>
  <si>
    <t>JS/07031/25-26</t>
  </si>
  <si>
    <t>7460336371</t>
  </si>
  <si>
    <t>SO-J. /INT/SET/2025/11/39391</t>
  </si>
  <si>
    <t>JS/07032/25-26</t>
  </si>
  <si>
    <t>33891441</t>
  </si>
  <si>
    <t>33842546</t>
  </si>
  <si>
    <t>H7493941724270</t>
  </si>
  <si>
    <t>33292080</t>
  </si>
  <si>
    <t>SYNERGY XD MR OUS 2.75X24MM</t>
  </si>
  <si>
    <t>7460289317</t>
  </si>
  <si>
    <t>SO-J. /INT/SET/2025/11/39392</t>
  </si>
  <si>
    <t>JS/07033/25-26</t>
  </si>
  <si>
    <t>H7493927608300</t>
  </si>
  <si>
    <t>36261931</t>
  </si>
  <si>
    <t>NC EMERGE MR OUS 3.00MM X 8MM</t>
  </si>
  <si>
    <t>34992172</t>
  </si>
  <si>
    <t>H7493941720350</t>
  </si>
  <si>
    <t>35888304</t>
  </si>
  <si>
    <t>SYNERGY XD MR OUS 3.50X20MM</t>
  </si>
  <si>
    <t>7460329368</t>
  </si>
  <si>
    <t>33686684</t>
  </si>
  <si>
    <t>7460280288</t>
  </si>
  <si>
    <t>18-11-2025</t>
  </si>
  <si>
    <t>SO-J. /INT/SET/2025/11/39446</t>
  </si>
  <si>
    <t>36371997</t>
  </si>
  <si>
    <t>JS/07079/25-26</t>
  </si>
  <si>
    <t>SO-J. /INT/SET/2025/11/39447</t>
  </si>
  <si>
    <t>JS/07099/25-26</t>
  </si>
  <si>
    <t>SO-J. /INT/SET/2025/11/39448</t>
  </si>
  <si>
    <t>JS/07100/25-26</t>
  </si>
  <si>
    <t>H7493941732220</t>
  </si>
  <si>
    <t>35167457</t>
  </si>
  <si>
    <t>SYNERGY XD MR OUS 2.25X32MM</t>
  </si>
  <si>
    <t>SO-J. /INT/SET/2025/11/39449</t>
  </si>
  <si>
    <t>JS/07101/25-26</t>
  </si>
  <si>
    <t>19-11-2025</t>
  </si>
  <si>
    <t>SO-J. /INT/SET/2025/11/39450</t>
  </si>
  <si>
    <t>H7493927606350</t>
  </si>
  <si>
    <t>36580425</t>
  </si>
  <si>
    <t>NC EMERGE MR OUS 3.50MM X 6MM</t>
  </si>
  <si>
    <t>7460329367</t>
  </si>
  <si>
    <t>JS/07114/25-26</t>
  </si>
  <si>
    <t>SO-J. /INT/SET/2025/11/39451</t>
  </si>
  <si>
    <t>H7493925128270</t>
  </si>
  <si>
    <t>35017542</t>
  </si>
  <si>
    <t>PROMUS PREMIER OUS MR 28 X 2.75</t>
  </si>
  <si>
    <t>P PREMIER MR28MM OUS</t>
  </si>
  <si>
    <t>JS/07116/25-26</t>
  </si>
  <si>
    <t>SO-J. /INT/SET/2025/11/39452</t>
  </si>
  <si>
    <t>JS/07125/25-26</t>
  </si>
  <si>
    <t>SO-J. /INT/SET/2025/11/39453</t>
  </si>
  <si>
    <t>JS/07126/25-26</t>
  </si>
  <si>
    <t>20-11-2025</t>
  </si>
  <si>
    <t>SO-J. /INT/SET/2025/11/39481</t>
  </si>
  <si>
    <t>H7493925132300</t>
  </si>
  <si>
    <t>35506824</t>
  </si>
  <si>
    <t>31-12-2026</t>
  </si>
  <si>
    <t>PROMUS PREMIER OUS MR 32 X 3.00</t>
  </si>
  <si>
    <t>7460329366</t>
  </si>
  <si>
    <t>JS/07147/25-26</t>
  </si>
  <si>
    <t>SO-J. /INT/SET/2025/11/39482</t>
  </si>
  <si>
    <t>H7493892815270</t>
  </si>
  <si>
    <t>31278568</t>
  </si>
  <si>
    <t>FG MAVERICK 2 MR 2.75MM X 15MM</t>
  </si>
  <si>
    <t>7460286009</t>
  </si>
  <si>
    <t>JS/07148/25-26</t>
  </si>
  <si>
    <t>36156698</t>
  </si>
  <si>
    <t>H7493941738350</t>
  </si>
  <si>
    <t>36453767</t>
  </si>
  <si>
    <t>SYNERGY XD MR OUS 3.50X38MM</t>
  </si>
  <si>
    <t>SO-J. /INT/SET/2025/11/39483</t>
  </si>
  <si>
    <t>H7493927608350</t>
  </si>
  <si>
    <t>36317339</t>
  </si>
  <si>
    <t>NC EMERGE MR OUS 3.50MM X 8MM</t>
  </si>
  <si>
    <t>JS/07151/25-26</t>
  </si>
  <si>
    <t>SO-J. /INT/SET/2025/11/39484</t>
  </si>
  <si>
    <t>JS/07152/25-26</t>
  </si>
  <si>
    <t>SO-J. /INT/SET/2025/11/39485</t>
  </si>
  <si>
    <t>34511691</t>
  </si>
  <si>
    <t>7460303028</t>
  </si>
  <si>
    <t>JS/07153/25-26</t>
  </si>
  <si>
    <t>35469233</t>
  </si>
  <si>
    <t>SO-J. /INT/SET/2025/11/39486</t>
  </si>
  <si>
    <t>34748420</t>
  </si>
  <si>
    <t>7460307028</t>
  </si>
  <si>
    <t>JS/07154/25-26</t>
  </si>
  <si>
    <t>21-11-2025</t>
  </si>
  <si>
    <t>SO-J. /INT/SET/2025/12/39489</t>
  </si>
  <si>
    <t>36371996</t>
  </si>
  <si>
    <t>JS/07182/25-26</t>
  </si>
  <si>
    <t>SO-J. /INT/SET/2025/12/39490</t>
  </si>
  <si>
    <t>JS/07184/25-26</t>
  </si>
  <si>
    <t>22-11-2025</t>
  </si>
  <si>
    <t>SO-J. /INT/SET/2025/12/39513</t>
  </si>
  <si>
    <t>JS/07209/25-26</t>
  </si>
  <si>
    <t>H74939403152750</t>
  </si>
  <si>
    <t>35749898</t>
  </si>
  <si>
    <t>WOLVERINE CB MR OUS 15MMX2.75MM</t>
  </si>
  <si>
    <t>7460319256</t>
  </si>
  <si>
    <t>SO-J. /INT/SET/2025/12/39514</t>
  </si>
  <si>
    <t>JS/07210/25-26</t>
  </si>
  <si>
    <t>H7493942720400</t>
  </si>
  <si>
    <t>35999031</t>
  </si>
  <si>
    <t>S MEGATRON OUS MR 4.00 X 20MM</t>
  </si>
  <si>
    <t>SO-J. /INT/SET/2025/12/39515</t>
  </si>
  <si>
    <t>H7493925128300</t>
  </si>
  <si>
    <t>35221610</t>
  </si>
  <si>
    <t>PROMUS PREMIER OUS MR 28 X 3.00</t>
  </si>
  <si>
    <t>7460308134</t>
  </si>
  <si>
    <t>JS/07212/25-26</t>
  </si>
  <si>
    <t>H7493927606320</t>
  </si>
  <si>
    <t>34091423</t>
  </si>
  <si>
    <t>NC EMERGE MR OUS 3.25MM X 6MM</t>
  </si>
  <si>
    <t>7460314118</t>
  </si>
  <si>
    <t>SO-J. /INT/SET/2025/12/39521</t>
  </si>
  <si>
    <t>H749MDU5PLUSBAG0</t>
  </si>
  <si>
    <t>36575609</t>
  </si>
  <si>
    <t>31-01-2028</t>
  </si>
  <si>
    <t>MDU5 PLUS STERILE BAG</t>
  </si>
  <si>
    <t>IVUS DISPOSABLE ACC</t>
  </si>
  <si>
    <t>DRAPES AND BAGS</t>
  </si>
  <si>
    <t>7460327896</t>
  </si>
  <si>
    <t>JS/07233/25-26</t>
  </si>
  <si>
    <t>25-11-2025</t>
  </si>
  <si>
    <t>SO-J. /INT/SET/2025/12/39563</t>
  </si>
  <si>
    <t>JS/07275/25-26</t>
  </si>
  <si>
    <t>SO-J. /INT/SET/2025/12/39564</t>
  </si>
  <si>
    <t>36708090</t>
  </si>
  <si>
    <t>JS/07278/25-26</t>
  </si>
  <si>
    <t>H7493941712250</t>
  </si>
  <si>
    <t>35622830</t>
  </si>
  <si>
    <t>SYNERGY XD MR OUS 2.50X12MM</t>
  </si>
  <si>
    <t>NG SYN MR OUS 12MM</t>
  </si>
  <si>
    <t>35520260</t>
  </si>
  <si>
    <t>7460317152</t>
  </si>
  <si>
    <t>H7493942724350</t>
  </si>
  <si>
    <t>33347449</t>
  </si>
  <si>
    <t>S MEGATRON OUS MR 3.50 X 24MM</t>
  </si>
  <si>
    <t>MEGATRON MR 24MM OUS</t>
  </si>
  <si>
    <t>7460276594</t>
  </si>
  <si>
    <t>SO-J. /INT/SET/2025/12/39565</t>
  </si>
  <si>
    <t>JS/07279/25-26</t>
  </si>
  <si>
    <t>34161188</t>
  </si>
  <si>
    <t>7460295450</t>
  </si>
  <si>
    <t>26-11-2025</t>
  </si>
  <si>
    <t>SO-J. /INT/SET/2025/12/39578</t>
  </si>
  <si>
    <t>H7493925138350</t>
  </si>
  <si>
    <t>36174694</t>
  </si>
  <si>
    <t>PROMUS PREMIER OUS MR 38 X 3.50</t>
  </si>
  <si>
    <t>JS/07310/25-26</t>
  </si>
  <si>
    <t>SO-J. /INT/SET/2025/12/39579</t>
  </si>
  <si>
    <t>H7493927612270</t>
  </si>
  <si>
    <t>36317681</t>
  </si>
  <si>
    <t>NC EMERGE MR OUS 2.75MM X 12MM</t>
  </si>
  <si>
    <t>JS/07311/25-26</t>
  </si>
  <si>
    <t>27-11-2025</t>
  </si>
  <si>
    <t>SO-J. /INT/SET/2025/12/39614</t>
  </si>
  <si>
    <t>H74939403103500</t>
  </si>
  <si>
    <t>32971421</t>
  </si>
  <si>
    <t>WOLVERINE CB MR OUS 10MMX3.50MM</t>
  </si>
  <si>
    <t>JS/07350/25-26</t>
  </si>
  <si>
    <t>SO-J. /INT/SET/2025/12/39615</t>
  </si>
  <si>
    <t>35629559</t>
  </si>
  <si>
    <t>JS/07352/25-26</t>
  </si>
  <si>
    <t>SO-J. /INT/SET/2025/12/39616</t>
  </si>
  <si>
    <t>H7493927608320</t>
  </si>
  <si>
    <t>35711805</t>
  </si>
  <si>
    <t>NC EMERGE MR OUS 3.25MM X 8MM</t>
  </si>
  <si>
    <t>JS/07353/25-26</t>
  </si>
  <si>
    <t>SO-J. /INT/SET/2025/12/39617</t>
  </si>
  <si>
    <t>JS/07354/25-26</t>
  </si>
  <si>
    <t>35961651</t>
  </si>
  <si>
    <t>06-12-2025</t>
  </si>
  <si>
    <t>SO-J. /INT/SET/2025/12/39659</t>
  </si>
  <si>
    <t>JS/07385/25-26</t>
  </si>
  <si>
    <t>SO-J. /INT/SET/2025/12/39660</t>
  </si>
  <si>
    <t>JS/07395/25-26</t>
  </si>
  <si>
    <t>36317693</t>
  </si>
  <si>
    <t>29-11-2025</t>
  </si>
  <si>
    <t>SO-J. /INT/SET/2025/12/39661</t>
  </si>
  <si>
    <t>JS/07423/25-26</t>
  </si>
  <si>
    <t>SO-J. /INT/SET/2025/12/39662</t>
  </si>
  <si>
    <t>JS/07448/25-26</t>
  </si>
  <si>
    <t>October,2025</t>
  </si>
  <si>
    <t>01-10-2025</t>
  </si>
  <si>
    <t>18-10-2025</t>
  </si>
  <si>
    <t>SO-J. /INT/SET/2025/10/38358</t>
  </si>
  <si>
    <t>36309249</t>
  </si>
  <si>
    <t>7460328823</t>
  </si>
  <si>
    <t>JS/05645/25-26</t>
  </si>
  <si>
    <t>SO-J. /INT/SET/2025/10/38359</t>
  </si>
  <si>
    <t>35763427</t>
  </si>
  <si>
    <t>7460324061</t>
  </si>
  <si>
    <t>JS/05646/25-26</t>
  </si>
  <si>
    <t>36261954</t>
  </si>
  <si>
    <t>SO-J. /INT/SET/2025/10/38360</t>
  </si>
  <si>
    <t>JS/05647/25-26</t>
  </si>
  <si>
    <t>H7493941724400</t>
  </si>
  <si>
    <t>33864701</t>
  </si>
  <si>
    <t>SYNERGY XD MR OUS 4.00X24MM</t>
  </si>
  <si>
    <t>7460304222</t>
  </si>
  <si>
    <t>03-10-2025</t>
  </si>
  <si>
    <t>SO-J. /INT/SET/2025/10/38400</t>
  </si>
  <si>
    <t>JS/05691/25-26</t>
  </si>
  <si>
    <t>36317710</t>
  </si>
  <si>
    <t>7460322577</t>
  </si>
  <si>
    <t>SO-J. /INT/SET/2025/10/38401</t>
  </si>
  <si>
    <t>32897171</t>
  </si>
  <si>
    <t>JS/05692/25-26</t>
  </si>
  <si>
    <t>H7493927615350</t>
  </si>
  <si>
    <t>36012036</t>
  </si>
  <si>
    <t>NC EMERGE MR OUS 3.50MM X 15MM</t>
  </si>
  <si>
    <t>7460318272</t>
  </si>
  <si>
    <t>H74939403153500</t>
  </si>
  <si>
    <t>36152781</t>
  </si>
  <si>
    <t>WOLVERINE CB MR OUS 15MMX3.50MM</t>
  </si>
  <si>
    <t>7460327443</t>
  </si>
  <si>
    <t>SO-J. /INT/SET/2025/10/38402</t>
  </si>
  <si>
    <t>36317701</t>
  </si>
  <si>
    <t>JS/05704/25-26</t>
  </si>
  <si>
    <t>SO-J. /INT/SET/2025/10/38403</t>
  </si>
  <si>
    <t>H7493941748300</t>
  </si>
  <si>
    <t>35646698</t>
  </si>
  <si>
    <t>SYNERGY XD MR OUS 3.00X48MM</t>
  </si>
  <si>
    <t>JS/05705/25-26</t>
  </si>
  <si>
    <t>04-11-2025</t>
  </si>
  <si>
    <t>SO-J. /INT/SET/2025/11/38835</t>
  </si>
  <si>
    <t>33702966</t>
  </si>
  <si>
    <t>04-10-2025</t>
  </si>
  <si>
    <t>SO-J. /INT/SET/2025/10/38404</t>
  </si>
  <si>
    <t>34634901</t>
  </si>
  <si>
    <t>7460300826</t>
  </si>
  <si>
    <t>JS/05713/25-26</t>
  </si>
  <si>
    <t>13-10-2025</t>
  </si>
  <si>
    <t>SO-MED/PER/SET/2025/10/4824</t>
  </si>
  <si>
    <t>M001262500</t>
  </si>
  <si>
    <t>35945432</t>
  </si>
  <si>
    <t>29-02-2028</t>
  </si>
  <si>
    <t>SOLOIST SINGLE NEEDLE ELECTRODE</t>
  </si>
  <si>
    <t>TUMOR ABLATION</t>
  </si>
  <si>
    <t>RF PROBES</t>
  </si>
  <si>
    <t>SINGLE NDL ELECTRODE</t>
  </si>
  <si>
    <t>7460331108</t>
  </si>
  <si>
    <t>S/P/001023</t>
  </si>
  <si>
    <t>06-10-2025</t>
  </si>
  <si>
    <t>SO-J. /INT/SET/2025/10/38438</t>
  </si>
  <si>
    <t>35949573</t>
  </si>
  <si>
    <t>7460322598</t>
  </si>
  <si>
    <t>JS/05765/25-26</t>
  </si>
  <si>
    <t>SO-J. /INT/SET/2025/10/38439</t>
  </si>
  <si>
    <t>JS/05766/25-26</t>
  </si>
  <si>
    <t>SO-J. /INT/SET/2025/10/38440</t>
  </si>
  <si>
    <t>36254950</t>
  </si>
  <si>
    <t>JS/05767/25-26</t>
  </si>
  <si>
    <t>35281703</t>
  </si>
  <si>
    <t>7460320521</t>
  </si>
  <si>
    <t>36406027</t>
  </si>
  <si>
    <t>07-10-2025</t>
  </si>
  <si>
    <t>SO-J. /INT/SET/2025/10/38480</t>
  </si>
  <si>
    <t>36153762</t>
  </si>
  <si>
    <t>JS/05809/25-26</t>
  </si>
  <si>
    <t>H7493941732250</t>
  </si>
  <si>
    <t>35185990</t>
  </si>
  <si>
    <t>SYNERGY XD MR OUS 2.50X32MM</t>
  </si>
  <si>
    <t>SO-J. /INT/SET/2025/10/38481</t>
  </si>
  <si>
    <t>35906382</t>
  </si>
  <si>
    <t>JS/05812/25-26</t>
  </si>
  <si>
    <t>36059205</t>
  </si>
  <si>
    <t>7460321742</t>
  </si>
  <si>
    <t>33014827</t>
  </si>
  <si>
    <t>7460285726</t>
  </si>
  <si>
    <t>34803416</t>
  </si>
  <si>
    <t>7460310747</t>
  </si>
  <si>
    <t>H7493942712350</t>
  </si>
  <si>
    <t>32921383</t>
  </si>
  <si>
    <t>S MEGATRON OUS MR 3.50 X 12MM</t>
  </si>
  <si>
    <t>MEGATRON MR 12MM OUS</t>
  </si>
  <si>
    <t>7460269984</t>
  </si>
  <si>
    <t>SO-J. /INT/SET/2025/10/38482</t>
  </si>
  <si>
    <t>32571004</t>
  </si>
  <si>
    <t>31-10-2025</t>
  </si>
  <si>
    <t>7460263717</t>
  </si>
  <si>
    <t>JS/05815/25-26</t>
  </si>
  <si>
    <t>08-10-2025</t>
  </si>
  <si>
    <t>SO-J. /INT/SET/2025/10/38508</t>
  </si>
  <si>
    <t>JS/05850/25-26</t>
  </si>
  <si>
    <t>36153761</t>
  </si>
  <si>
    <t>33459067</t>
  </si>
  <si>
    <t>SO-J. /INT/SET/2025/10/38509</t>
  </si>
  <si>
    <t>JS/05852/25-26</t>
  </si>
  <si>
    <t>09-10-2025</t>
  </si>
  <si>
    <t>11-11-2025</t>
  </si>
  <si>
    <t>1-CNCL/SO-J. /INT/SET/2025/10/38554</t>
  </si>
  <si>
    <t>CLOSED</t>
  </si>
  <si>
    <t>H7493941720400</t>
  </si>
  <si>
    <t>34549398</t>
  </si>
  <si>
    <t>SYNERGY XD MR OUS 4.00X20MM</t>
  </si>
  <si>
    <t>JS/05911/25-26</t>
  </si>
  <si>
    <t>INDIGENT FREE</t>
  </si>
  <si>
    <t>Approved as per RM approval</t>
  </si>
  <si>
    <t>SO-J. /INT/SET/2025/10/38551</t>
  </si>
  <si>
    <t>36934938</t>
  </si>
  <si>
    <t>JS/05908/25-26</t>
  </si>
  <si>
    <t>SO-J. /INT/SET/2025/10/38552</t>
  </si>
  <si>
    <t>35981722</t>
  </si>
  <si>
    <t>31-03-2028</t>
  </si>
  <si>
    <t>JS/05909/25-26</t>
  </si>
  <si>
    <t>H7493927608400</t>
  </si>
  <si>
    <t>34475992</t>
  </si>
  <si>
    <t>NC EMERGE MR OUS 4.00MM X 8MM</t>
  </si>
  <si>
    <t>7460298864</t>
  </si>
  <si>
    <t>34714301</t>
  </si>
  <si>
    <t>7460315326</t>
  </si>
  <si>
    <t>SO-J. /INT/SET/2025/10/38553</t>
  </si>
  <si>
    <t>36153779</t>
  </si>
  <si>
    <t>JS/05910/25-26</t>
  </si>
  <si>
    <t>SO-J. /INT/SET/2025/10/38554</t>
  </si>
  <si>
    <t>35382368</t>
  </si>
  <si>
    <t>7460304598</t>
  </si>
  <si>
    <t>34711270</t>
  </si>
  <si>
    <t>7460302176</t>
  </si>
  <si>
    <t>35167206</t>
  </si>
  <si>
    <t>36285302</t>
  </si>
  <si>
    <t>34241754</t>
  </si>
  <si>
    <t>7460300970</t>
  </si>
  <si>
    <t>35447549</t>
  </si>
  <si>
    <t>SO-J. /INT/SET/2025/10/38555</t>
  </si>
  <si>
    <t>H7493941724250</t>
  </si>
  <si>
    <t>33273318</t>
  </si>
  <si>
    <t>SYNERGY XD MR OUS 2.50X24MM</t>
  </si>
  <si>
    <t>JS/05912/25-26</t>
  </si>
  <si>
    <t>SO-J. /INT/SET/2025/10/38556</t>
  </si>
  <si>
    <t>JS/05923/25-26</t>
  </si>
  <si>
    <t>SO-J. /INT/SET/2025/10/38557</t>
  </si>
  <si>
    <t>JS/05924/25-26</t>
  </si>
  <si>
    <t>SO-J. /INT/SET/2025/10/38558</t>
  </si>
  <si>
    <t>35136033</t>
  </si>
  <si>
    <t>7460316304</t>
  </si>
  <si>
    <t>JS/05925/25-26</t>
  </si>
  <si>
    <t>11-10-2025</t>
  </si>
  <si>
    <t>SO-J. /INT/SET/2025/10/38611</t>
  </si>
  <si>
    <t>36262013</t>
  </si>
  <si>
    <t>JS/05964/25-26</t>
  </si>
  <si>
    <t>27-10-2025</t>
  </si>
  <si>
    <t>SO-J. /INT/SET/2025/10/38617</t>
  </si>
  <si>
    <t>JS/06003/25-26</t>
  </si>
  <si>
    <t>SO-J. /INT/SET/2025/10/38618</t>
  </si>
  <si>
    <t>JS/06004/25-26</t>
  </si>
  <si>
    <t>14-10-2025</t>
  </si>
  <si>
    <t>SO-J. /INT/SET/2025/10/38664</t>
  </si>
  <si>
    <t>JS/06039/25-26</t>
  </si>
  <si>
    <t>15-10-2025</t>
  </si>
  <si>
    <t>SO-J. /INT/SET/2025/10/38665</t>
  </si>
  <si>
    <t>JS/06081/25-26</t>
  </si>
  <si>
    <t>H7493927612320</t>
  </si>
  <si>
    <t>36396347</t>
  </si>
  <si>
    <t>NC EMERGE MR OUS 3.25MM X 12MM</t>
  </si>
  <si>
    <t>35117583</t>
  </si>
  <si>
    <t>SO-J. /INT/SET/2025/10/38666</t>
  </si>
  <si>
    <t>36398393</t>
  </si>
  <si>
    <t>JS/06082/25-26</t>
  </si>
  <si>
    <t>SO-J. /INT/SET/2025/10/38667</t>
  </si>
  <si>
    <t>H74939403104000</t>
  </si>
  <si>
    <t>35757007</t>
  </si>
  <si>
    <t>WOLVERINE CB MR OUS 10MMX4.00MM</t>
  </si>
  <si>
    <t>7460319255</t>
  </si>
  <si>
    <t>JS/06084/25-26</t>
  </si>
  <si>
    <t>H7493942724400</t>
  </si>
  <si>
    <t>33114776</t>
  </si>
  <si>
    <t>S MEGATRON OUS MR 4.00 X 24MM</t>
  </si>
  <si>
    <t>7460284368</t>
  </si>
  <si>
    <t>SO-MED/PER/SET/2025/10/4878</t>
  </si>
  <si>
    <t>M0017600451</t>
  </si>
  <si>
    <t>35592119</t>
  </si>
  <si>
    <t>CONTOUR 355-500 5 VIALS   BX/5</t>
  </si>
  <si>
    <t>CONTOUR</t>
  </si>
  <si>
    <t>5 Vial</t>
  </si>
  <si>
    <t>7460320446</t>
  </si>
  <si>
    <t>S/P/001078</t>
  </si>
  <si>
    <t>M0017600651</t>
  </si>
  <si>
    <t>33384318</t>
  </si>
  <si>
    <t>CONTOUR 500-710 5 VIALS   BX/5</t>
  </si>
  <si>
    <t>7460281054</t>
  </si>
  <si>
    <t>16-10-2025</t>
  </si>
  <si>
    <t>SO-J. /INT/SET/2025/10/38704</t>
  </si>
  <si>
    <t>36673309</t>
  </si>
  <si>
    <t>JS/06109/25-26</t>
  </si>
  <si>
    <t>05639H24</t>
  </si>
  <si>
    <t>33677707</t>
  </si>
  <si>
    <t>SO-J. /INT/SET/2025/10/38705</t>
  </si>
  <si>
    <t>JS/06110/25-26</t>
  </si>
  <si>
    <t>SO-J. /INT/SET/2025/10/38706</t>
  </si>
  <si>
    <t>JS/06111/25-26</t>
  </si>
  <si>
    <t>SO-J. /INT/SET/2025/10/38707</t>
  </si>
  <si>
    <t>35763423</t>
  </si>
  <si>
    <t>JS/06112/25-26</t>
  </si>
  <si>
    <t>17-10-2025</t>
  </si>
  <si>
    <t>SO-J. /INT/SET/2025/11/39060</t>
  </si>
  <si>
    <t>H7493941732350</t>
  </si>
  <si>
    <t>35083410</t>
  </si>
  <si>
    <t>SYNERGY XD MR OUS 3.50X32MM</t>
  </si>
  <si>
    <t>JS/06151/25-26</t>
  </si>
  <si>
    <t>35386449</t>
  </si>
  <si>
    <t>35092384</t>
  </si>
  <si>
    <t>SO-J. /INT/SET/2025/11/39061</t>
  </si>
  <si>
    <t>JS/06153/25-26</t>
  </si>
  <si>
    <t>SO-J. /INT/SET/2025/11/39062</t>
  </si>
  <si>
    <t>JS/06154/25-26</t>
  </si>
  <si>
    <t>SO-J. /INT/SET/2025/11/39063</t>
  </si>
  <si>
    <t>33265563</t>
  </si>
  <si>
    <t>7460280241</t>
  </si>
  <si>
    <t>JS/06155/25-26</t>
  </si>
  <si>
    <t>SO-J. /INT/SET/2025/11/39064</t>
  </si>
  <si>
    <t>JS/06157/25-26</t>
  </si>
  <si>
    <t>SO-J. /INT/SET/2025/11/39074</t>
  </si>
  <si>
    <t>JS/06182/25-26</t>
  </si>
  <si>
    <t>SO-J. /INT/SET/2025/11/39075</t>
  </si>
  <si>
    <t>JS/06183/25-26</t>
  </si>
  <si>
    <t>24-10-2025</t>
  </si>
  <si>
    <t>SO-J. /INT/SET/2025/11/39149</t>
  </si>
  <si>
    <t>34711272</t>
  </si>
  <si>
    <t>7460303033</t>
  </si>
  <si>
    <t>JS/06261/25-26</t>
  </si>
  <si>
    <t>SO-J. /INT/SET/2025/11/39150</t>
  </si>
  <si>
    <t>JS/06296/25-26</t>
  </si>
  <si>
    <t>25-10-2025</t>
  </si>
  <si>
    <t>SO-J. /INT/SET/2025/10/38734</t>
  </si>
  <si>
    <t>JS/06309/25-26</t>
  </si>
  <si>
    <t>35664475</t>
  </si>
  <si>
    <t>SO-J. /INT/SET/2025/10/38735</t>
  </si>
  <si>
    <t>JS/06310/25-26</t>
  </si>
  <si>
    <t>SO-J. /INT/SET/2025/10/38736</t>
  </si>
  <si>
    <t>35532896</t>
  </si>
  <si>
    <t>JS/06311/25-26</t>
  </si>
  <si>
    <t>SO-J. /INT/SET/2025/10/38737</t>
  </si>
  <si>
    <t>JS/06312/25-26</t>
  </si>
  <si>
    <t>SO-J. /INT/SET/2025/10/38738</t>
  </si>
  <si>
    <t>JS/06314/25-26</t>
  </si>
  <si>
    <t>SO-J. /INT/SET/2025/10/38782</t>
  </si>
  <si>
    <t>H7493941716350</t>
  </si>
  <si>
    <t>35212580</t>
  </si>
  <si>
    <t>SYNERGY XD MR OUS 3.50X16MM</t>
  </si>
  <si>
    <t>7460318098</t>
  </si>
  <si>
    <t>JS/06335/25-26</t>
  </si>
  <si>
    <t>35514786</t>
  </si>
  <si>
    <t>7460316301</t>
  </si>
  <si>
    <t>SO-J. /INT/SET/2025/10/38783</t>
  </si>
  <si>
    <t>JS/06336/25-26</t>
  </si>
  <si>
    <t>SO-J. /INT/SET/2025/10/38784</t>
  </si>
  <si>
    <t>35663189</t>
  </si>
  <si>
    <t>JS/06337/25-26</t>
  </si>
  <si>
    <t>SO-J. /INT/SET/2025/10/38785</t>
  </si>
  <si>
    <t>JS/06338/25-26</t>
  </si>
  <si>
    <t>28-10-2025</t>
  </si>
  <si>
    <t>13-01-2026</t>
  </si>
  <si>
    <t>1-CNCL/SO-J. /INT/SET/2025/10/38794</t>
  </si>
  <si>
    <t>36648658</t>
  </si>
  <si>
    <t>JS/06393/25-26</t>
  </si>
  <si>
    <t>PRODUCT COMPLAINT</t>
  </si>
  <si>
    <t>SO-J. /INT/SET/2025/10/38792</t>
  </si>
  <si>
    <t>JS/06381/25-26</t>
  </si>
  <si>
    <t>SO-J. /INT/SET/2025/10/38793</t>
  </si>
  <si>
    <t>36317205</t>
  </si>
  <si>
    <t>JS/06392/25-26</t>
  </si>
  <si>
    <t>SO-J. /INT/SET/2025/10/38794</t>
  </si>
  <si>
    <t>H7493942728400</t>
  </si>
  <si>
    <t>34250816</t>
  </si>
  <si>
    <t>S MEGATRON OUS MR 4.00 X 28MM</t>
  </si>
  <si>
    <t>MEGATRON MR 28MM OUS</t>
  </si>
  <si>
    <t>29-10-2025</t>
  </si>
  <si>
    <t>SO-J. /INT/SET/2025/10/38827</t>
  </si>
  <si>
    <t>32971036</t>
  </si>
  <si>
    <t>7460280086</t>
  </si>
  <si>
    <t>JS/06414/25-26</t>
  </si>
  <si>
    <t>SO-J. /INT/SET/2025/10/38828</t>
  </si>
  <si>
    <t>JS/06417/25-26</t>
  </si>
  <si>
    <t>35485987</t>
  </si>
  <si>
    <t>SO-J. /INT/SET/2025/10/38829</t>
  </si>
  <si>
    <t>JS/06418/25-26</t>
  </si>
  <si>
    <t>SO-J. /INT/SET/2025/10/38830</t>
  </si>
  <si>
    <t>34611095</t>
  </si>
  <si>
    <t>JS/06422/25-26</t>
  </si>
  <si>
    <t>SO-J. /INT/SET/2025/10/38831</t>
  </si>
  <si>
    <t>34417335</t>
  </si>
  <si>
    <t>JS/06423/25-26</t>
  </si>
  <si>
    <t>H7493941716270</t>
  </si>
  <si>
    <t>35549389</t>
  </si>
  <si>
    <t>SYNERGY XD MR OUS 2.75X16MM</t>
  </si>
  <si>
    <t>36293643</t>
  </si>
  <si>
    <t>33434428</t>
  </si>
  <si>
    <t>30-10-2025</t>
  </si>
  <si>
    <t>SO-J. /INT/SET/2025/11/38837</t>
  </si>
  <si>
    <t>JS/06471/25-26</t>
  </si>
  <si>
    <t>SO-J. /INT/SET/2025/11/38908</t>
  </si>
  <si>
    <t>JS/06495/25-26</t>
  </si>
  <si>
    <t>SO-J. /INT/SET/2025/11/38909</t>
  </si>
  <si>
    <t>36317346</t>
  </si>
  <si>
    <t>JS/06503/25-26</t>
  </si>
  <si>
    <t>SO-J. /INT/SET/2025/11/38910</t>
  </si>
  <si>
    <t>JS/06504/25-26</t>
  </si>
  <si>
    <t>SO-J. /INT/SET/2025/11/38911</t>
  </si>
  <si>
    <t>JS/06505/25-26</t>
  </si>
  <si>
    <t>SO-J. /INT/SET/2025/11/38912</t>
  </si>
  <si>
    <t>36608847</t>
  </si>
  <si>
    <t>JS/06506/25-26</t>
  </si>
  <si>
    <t>SO-J. /INT/SET/2025/11/38913</t>
  </si>
  <si>
    <t>36013561</t>
  </si>
  <si>
    <t>7460328291</t>
  </si>
  <si>
    <t>JS/06508/25-26</t>
  </si>
  <si>
    <t>May,2025</t>
  </si>
  <si>
    <t>07-05-2025</t>
  </si>
  <si>
    <t>1-CNCL/SO-J. /INT/SET/2025/05/34837</t>
  </si>
  <si>
    <t>Cancelled</t>
  </si>
  <si>
    <t>H7493925120250</t>
  </si>
  <si>
    <t>35403019</t>
  </si>
  <si>
    <t>PROMUS PREMIER OUS MR 20 X 2.50</t>
  </si>
  <si>
    <t>P PREMIER MR20MM OUS</t>
  </si>
  <si>
    <t>JS/01046/25-26</t>
  </si>
  <si>
    <t>WRONGLY CREAT SO WE ALREADY RAISED CLAIM HENCE WE CANCEL THIS SO</t>
  </si>
  <si>
    <t>Exclude</t>
  </si>
  <si>
    <t>SCK Remarks</t>
  </si>
  <si>
    <t>S. No</t>
  </si>
  <si>
    <t>File Name</t>
  </si>
  <si>
    <t>Pdf Link</t>
  </si>
  <si>
    <t>Invoice Date</t>
  </si>
  <si>
    <t xml:space="preserve">Order Number </t>
  </si>
  <si>
    <t>DIVISION</t>
  </si>
  <si>
    <t>IRN Number</t>
  </si>
  <si>
    <t>IP ID</t>
  </si>
  <si>
    <t>Challan no / delivery Note</t>
  </si>
  <si>
    <t>Patient</t>
  </si>
  <si>
    <t>Product Description</t>
  </si>
  <si>
    <t>Product Description as per ZNIV</t>
  </si>
  <si>
    <t>Quantity</t>
  </si>
  <si>
    <t>Total Price/Amount</t>
  </si>
  <si>
    <t>Dealer_stamp</t>
  </si>
  <si>
    <t>Hospital stamp</t>
  </si>
  <si>
    <t>Mandatory comment</t>
  </si>
  <si>
    <t>ADITIONAL REMARKS</t>
  </si>
  <si>
    <t>Final status</t>
  </si>
  <si>
    <t>SCK Status</t>
  </si>
  <si>
    <t>Processing Month</t>
  </si>
  <si>
    <t>JS_07632_25-26_SNDH Dec _page_1.pdf</t>
  </si>
  <si>
    <t>https://drive.google.com/file/d/1ItJIsEqcnLcWL5PF_N8dRrgmnL40ZfuW/view?usp=drivesdk</t>
  </si>
  <si>
    <t>CON25-01307</t>
  </si>
  <si>
    <t>SETH NANDLAL DHOOT HOSPITAL LIMITED - CHIKALTHANA AURANGABAD</t>
  </si>
  <si>
    <t>-</t>
  </si>
  <si>
    <t>JS/91460/25-26</t>
  </si>
  <si>
    <t>SYNERGY XD MR OUS 3.00MM X 24MM</t>
  </si>
  <si>
    <t>Yes</t>
  </si>
  <si>
    <t>To be process</t>
  </si>
  <si>
    <t>JS_07632_25-26_SNDH Dec _page_2.pdf</t>
  </si>
  <si>
    <t>https://drive.google.com/file/d/1cd31815Co3Kna8HFYDnSDHNaHc0RRz_q/view?usp=drivesdk</t>
  </si>
  <si>
    <t>CON25-01309</t>
  </si>
  <si>
    <t>JS/96947/25-26</t>
  </si>
  <si>
    <t>JS/100180/25-26</t>
  </si>
  <si>
    <t>NC EMERGE OUS MR 2.50MM X 20MM</t>
  </si>
  <si>
    <t>JS_07632_25-26_SNDH Dec _page_3.pdf</t>
  </si>
  <si>
    <t>https://drive.google.com/file/d/1dJSPAAC5Phi8LUAR1NowoL2kFyxdk1mQ/view?usp=drivesdk</t>
  </si>
  <si>
    <t>CON25-01311</t>
  </si>
  <si>
    <t>JS/042101/25-26</t>
  </si>
  <si>
    <t>MRS. TARAMATI BHASKAR IRATKAR</t>
  </si>
  <si>
    <t>JS_07632_25-26_SNDH Dec _page_4.pdf</t>
  </si>
  <si>
    <t>https://drive.google.com/file/d/1vrT4SiI-XoA6l1D1tnIzUbURoVV0wYxn/view?usp=drivesdk</t>
  </si>
  <si>
    <t>CON25-01315</t>
  </si>
  <si>
    <t>JS/102386/25-26</t>
  </si>
  <si>
    <t>MR. DADASAHEB RAVSAHEB SATHE</t>
  </si>
  <si>
    <t>NC EMERGE OUS MR 4.00MM X 12MM</t>
  </si>
  <si>
    <t>JS_07632_25-26_SNDH Dec _page_5.pdf</t>
  </si>
  <si>
    <t>https://drive.google.com/file/d/1Uv_4BGKmuL56IM34OxaH_363Q-KqDkyX/view?usp=drivesdk</t>
  </si>
  <si>
    <t>CON25-01318</t>
  </si>
  <si>
    <t>JS/102374/25-26</t>
  </si>
  <si>
    <t>MR. GANESH EKNATH SANGLE</t>
  </si>
  <si>
    <t>JS_07632_25-26_SNDH Dec _page_6.pdf</t>
  </si>
  <si>
    <t>https://drive.google.com/file/d/1g8eBKpSUYv17UOwPYLQ9lMEaGLMnmcGR/view?usp=drivesdk</t>
  </si>
  <si>
    <t>CON25-01320</t>
  </si>
  <si>
    <t>JS/96957/25-26</t>
  </si>
  <si>
    <t>JS/100151/25-26</t>
  </si>
  <si>
    <t>PROMUS PREMIER OUS MR 2.75 X 38</t>
  </si>
  <si>
    <t>JS/100669/25-26</t>
  </si>
  <si>
    <t>PROMUS PREMIER OUS MR 2.50 X 32</t>
  </si>
  <si>
    <t>JS_07632_25-26_SNDH Dec _page_7.pdf</t>
  </si>
  <si>
    <t>https://drive.google.com/file/d/1-CKUHxDEZu4cUZWrBNxBpUKqLbNsMHKM/view?usp=drivesdk</t>
  </si>
  <si>
    <t>CON25-01321</t>
  </si>
  <si>
    <t>JS/94186/25-26</t>
  </si>
  <si>
    <t>JS/099275/25-26</t>
  </si>
  <si>
    <t>SYNERGY XD MR OUS 2.50MM X 48MM</t>
  </si>
  <si>
    <t>JS/101337/25-26</t>
  </si>
  <si>
    <t>NC EMERGE OU MR 2.75MM X 20MM</t>
  </si>
  <si>
    <t>JS_07632_25-26_SNDH Dec _page_8.pdf</t>
  </si>
  <si>
    <t>https://drive.google.com/file/d/1z_-reIGRBUVNJ-NIC21Ilv-e1PCexJ1R/view?usp=drivesdk</t>
  </si>
  <si>
    <t>CON25-01328</t>
  </si>
  <si>
    <t>JS/101660/25-26</t>
  </si>
  <si>
    <t>MR. UTTAM SHANKAR GARAD</t>
  </si>
  <si>
    <t>JS_07632_25-26_SNDH Dec _page_9.pdf</t>
  </si>
  <si>
    <t>https://drive.google.com/file/d/1K9IfNRunv3oixrhi3SXZSHxJ1MeFDVhN/view?usp=drivesdk</t>
  </si>
  <si>
    <t>CON25-01330</t>
  </si>
  <si>
    <t>JS/104936/25-26</t>
  </si>
  <si>
    <t>MRS. SUMAN RAJESHWAR GAROLE</t>
  </si>
  <si>
    <t>JS_07632_25-26_SNDH Dec _page_10.pdf</t>
  </si>
  <si>
    <t>https://drive.google.com/file/d/10XQLol4Bs_XhxiMmZNxRx2HKfZmxSeDw/view?usp=drivesdk</t>
  </si>
  <si>
    <t>CON25-01336</t>
  </si>
  <si>
    <t>JS/104975/25-26</t>
  </si>
  <si>
    <t>JS_07632_25-26_SNDH Dec _page_11.pdf</t>
  </si>
  <si>
    <t>https://drive.google.com/file/d/1Ed_iB45m7ofG7Jm1UNQj1jmTUJkw1Iyw/view?usp=drivesdk</t>
  </si>
  <si>
    <t>CON25-01345</t>
  </si>
  <si>
    <t>JS/105541/25-26</t>
  </si>
  <si>
    <t>MRS. SNEHA ARUN DEO</t>
  </si>
  <si>
    <t>JS/046002/25-26</t>
  </si>
  <si>
    <t>SYNERGY XD MR OUS 2.75MM X 32MM</t>
  </si>
  <si>
    <t>JS_07632_25-26_SNDH Dec _page_12.pdf</t>
  </si>
  <si>
    <t>https://drive.google.com/file/d/1o0NIRXcBdJjII1ZlI70jmalTrbr28GkG/view?usp=drivesdk</t>
  </si>
  <si>
    <t>CON25-01347</t>
  </si>
  <si>
    <t>JS/104543/25-26</t>
  </si>
  <si>
    <t>MR. ROSHANLAL DUNNICHAND CHOUHAN</t>
  </si>
  <si>
    <t>SYNERGY XD MR OUS 3.50MM X 24MM</t>
  </si>
  <si>
    <t>JS/104974/25-26</t>
  </si>
  <si>
    <t>JS_07632_25-26_SNDH Dec _page_13.pdf</t>
  </si>
  <si>
    <t>https://drive.google.com/file/d/1d2I0BkWFYDxy-Rl1aVhJF5tycYaRj3HG/view?usp=drivesdk</t>
  </si>
  <si>
    <t>CON25-01348</t>
  </si>
  <si>
    <t>JS/48147/25-26</t>
  </si>
  <si>
    <t>MR. CHANDAN RUPCHAND TATU</t>
  </si>
  <si>
    <t>S MEGATRON OUS MR 3.50MM X 20MM</t>
  </si>
  <si>
    <t>JS/102392/25-26</t>
  </si>
  <si>
    <t>NC EMERGE OUS MR 3.50MM X 12MM</t>
  </si>
  <si>
    <t>JS/102397/25-26</t>
  </si>
  <si>
    <t>NC EMERGE OUS MR 2.75MM X 15MM</t>
  </si>
  <si>
    <t>JS/105542/25-26</t>
  </si>
  <si>
    <t>SYNERGY XD MR OUS 3.00MM X 30MM</t>
  </si>
  <si>
    <t>JS_07632_25-26_SNDH Dec _page_14.pdf</t>
  </si>
  <si>
    <t>https://drive.google.com/file/d/1ZAIqdPDXNnzMdMlovqqlq4qCtAUrYk91/view?usp=drivesdk</t>
  </si>
  <si>
    <t>CON25-01350</t>
  </si>
  <si>
    <t>JS/102366/25-26</t>
  </si>
  <si>
    <t>Mr. Shatrughna Ramchandra Sarkate</t>
  </si>
  <si>
    <t>JS_07632_25-26_SNDH Dec _page_15.pdf</t>
  </si>
  <si>
    <t>https://drive.google.com/file/d/1uTPqy5BYgWN3NVBjycljQIxkFqqSa0PB/view?usp=drivesdk</t>
  </si>
  <si>
    <t>CON25-01361</t>
  </si>
  <si>
    <t>JS/104973/25-26</t>
  </si>
  <si>
    <t>JS_07632_25-26_SNDH Dec _page_16.pdf</t>
  </si>
  <si>
    <t>https://drive.google.com/file/d/1bf44Jw9yvK1vg9k1SvKXaRURUflhsv-B/view?usp=drivesdk</t>
  </si>
  <si>
    <t>CON25-01367</t>
  </si>
  <si>
    <t>JS/104971/25-26</t>
  </si>
  <si>
    <t>MR. INDARSING TRAMBAKRAO PARIHAR</t>
  </si>
  <si>
    <t>JS_07632_25-26_SNDH Dec _page_17.pdf</t>
  </si>
  <si>
    <t>https://drive.google.com/file/d/1O4pe7lRf6dwBHD1xHFv9oPWNjouVeZCA/view?usp=drivesdk</t>
  </si>
  <si>
    <t>CON25-01370</t>
  </si>
  <si>
    <t>JS/96413/25-26</t>
  </si>
  <si>
    <t>MR. NARAYAN SANDU SAHANE</t>
  </si>
  <si>
    <t>JS_07632_25-26_SNDH Dec _page_18.pdf</t>
  </si>
  <si>
    <t>https://drive.google.com/file/d/1Dt1r6qMmQY_FwhqOcbcrWpM8GdEF93Qv/view?usp=drivesdk</t>
  </si>
  <si>
    <t>CON25-01378</t>
  </si>
  <si>
    <t>JS/099232/25-26</t>
  </si>
  <si>
    <t>MR. VIKRAM SHANKARRAO CHANDANSHIVE</t>
  </si>
  <si>
    <t>SYNERGY XD MR OUS 3.00MM X 16MM</t>
  </si>
  <si>
    <t>JS/102325/25-26</t>
  </si>
  <si>
    <t>WOLVERINE C8 MR OUS 3.00MM X 10MM</t>
  </si>
  <si>
    <t>JS_07632_25-26_SNDH Dec _page_20.pdf</t>
  </si>
  <si>
    <t>https://drive.google.com/file/d/1PZ5FQmu9D65wWndIRmY6Ut0XDRQ5L49I/view?usp=drivesdk</t>
  </si>
  <si>
    <t>CON25-01384</t>
  </si>
  <si>
    <t>JS/106132/25-26</t>
  </si>
  <si>
    <t>MR. ASHOKRAO NARAYANRAO KHARAT</t>
  </si>
  <si>
    <t>JS_07632_25-26_SNDH Dec _page_19.pdf</t>
  </si>
  <si>
    <t>https://drive.google.com/file/d/1IgEqnLZ7OSgiimyXjKZNJPQ0xtnEJjWv/view?usp=drivesdk</t>
  </si>
  <si>
    <t>CON25-01379</t>
  </si>
  <si>
    <t>JS/104967/25-26</t>
  </si>
  <si>
    <t>MR. IMRAN AKHLAQUE SYED</t>
  </si>
  <si>
    <t>JS_07632_25-26_SNDH Dec _page_21.pdf</t>
  </si>
  <si>
    <t>https://drive.google.com/file/d/1ArQV2mvZagCksNO5-O_ETq0Zcyam12ei/view?usp=drivesdk</t>
  </si>
  <si>
    <t>CON25-01394</t>
  </si>
  <si>
    <t>JS/102338/25-26</t>
  </si>
  <si>
    <t>MR. SHIVAJI MAROTI RONARE</t>
  </si>
  <si>
    <t>NC EMERGE OUS MR 2.75MM X 20MM</t>
  </si>
  <si>
    <t>JS_07632_25-26_SNDH Dec _page_22.pdf</t>
  </si>
  <si>
    <t>https://drive.google.com/file/d/1s-nHIvog-mysI00AKaWwut-64_nMtcsQ/view?usp=drivesdk</t>
  </si>
  <si>
    <t>CON25-01395</t>
  </si>
  <si>
    <t>JS/92052/25-26</t>
  </si>
  <si>
    <t>MR. SANTOSH VISHWANATH SHINDE</t>
  </si>
  <si>
    <t>JS_07632_25-26_SNDH Dec _page_23.pdf</t>
  </si>
  <si>
    <t>https://drive.google.com/file/d/1t6lZJILs4UEhmekQHRl1BfI-9k9A1ECS/view?usp=drivesdk</t>
  </si>
  <si>
    <t>CON25-01396</t>
  </si>
  <si>
    <t>JS/104972/25-26</t>
  </si>
  <si>
    <t>JS_07632_25-26_SNDH Dec _page_24.pdf</t>
  </si>
  <si>
    <t>https://drive.google.com/file/d/1Y5chbk4ZFGiNlHLgNFooNuPwNiHcHCRj/view?usp=drivesdk</t>
  </si>
  <si>
    <t>CON25-01403</t>
  </si>
  <si>
    <t>JS/104067/25-26</t>
  </si>
  <si>
    <t>MR. CHANDRAKANT KESHAVRAO ERANDE</t>
  </si>
  <si>
    <t>JS_07632_25-26_SNDH Dec _page_25.pdf</t>
  </si>
  <si>
    <t>https://drive.google.com/file/d/1AHetUbfAMBNpSqDzPElyMIxOiA7WWdvo/view?usp=drivesdk</t>
  </si>
  <si>
    <t>CON25-01401</t>
  </si>
  <si>
    <t>JS/104614/25-26</t>
  </si>
  <si>
    <t>SYNERGY XD MR OUS 3.00MM X 20MM</t>
  </si>
  <si>
    <t>JS/089843/25-26</t>
  </si>
  <si>
    <t>SYNERGY XD MR OUS 2.50MM X 38MM</t>
  </si>
  <si>
    <t>JS/106120/25-26</t>
  </si>
  <si>
    <t>JS/106246/25-26</t>
  </si>
  <si>
    <t>JS_07632_25-26_SNDH Dec _page_26.pdf</t>
  </si>
  <si>
    <t>https://drive.google.com/file/d/1wW91frznAE1E74J7OQIj9MzuJDCxPlap/view?usp=drivesdk</t>
  </si>
  <si>
    <t>CON25-01339</t>
  </si>
  <si>
    <t>JS/47858/24-25</t>
  </si>
  <si>
    <t>JS_07632_25-26_SNDH Dec _page_27.pdf</t>
  </si>
  <si>
    <t>https://drive.google.com/file/d/1wyDf5zjHNw5ueVGmljAGgeFRWV_FK_ke/view?usp=drivesdk</t>
  </si>
  <si>
    <t>CON25-01417</t>
  </si>
  <si>
    <t>JS/91565/24-25</t>
  </si>
  <si>
    <t>ARUNKUMAR NANDLAL MUNDADA</t>
  </si>
  <si>
    <t>WOLVERINE CB MR OUS 2.50MM X 15MM</t>
  </si>
  <si>
    <t>CON/25-01417</t>
  </si>
  <si>
    <t>JS/96873/25-26</t>
  </si>
  <si>
    <t>SYNERGY XO MR OUS 2.50MM X 38MM</t>
  </si>
  <si>
    <t>JS/089872/25-26</t>
  </si>
  <si>
    <t>SYNERGY XO MR OUS 2.50MM X 20MM</t>
  </si>
  <si>
    <t>JS/046004/25-26</t>
  </si>
  <si>
    <t>SYNERGY XO MR OUS 2.50MM X 25MM</t>
  </si>
  <si>
    <t>JS/104964/25-26</t>
  </si>
  <si>
    <t>JS_07632_25-26_SNDH Dec _page_28.pdf</t>
  </si>
  <si>
    <t>https://drive.google.com/file/d/1wIEvce4aVgcfMVRS2LDsg_zGI14R2Gpc/view?usp=drivesdk</t>
  </si>
  <si>
    <t>CON25-01420</t>
  </si>
  <si>
    <t>JS/102372/25-26</t>
  </si>
  <si>
    <t>MR. VIMAL GANESH SARDAR</t>
  </si>
  <si>
    <t>JS_07632_25-26_SNDH Dec _page_29.pdf</t>
  </si>
  <si>
    <t>https://drive.google.com/file/d/1xTMjNeddxEp_0ChtoXj1eGCN_c9AO_qi/view?usp=drivesdk</t>
  </si>
  <si>
    <t>CON25-01423</t>
  </si>
  <si>
    <t>JS/100570/25-26</t>
  </si>
  <si>
    <t>S MEGATRON OUS MR 3.50MM X 32MM</t>
  </si>
  <si>
    <t>JS/101458/25-26</t>
  </si>
  <si>
    <t>SYNERGY XD MR OUS 3.00MM X 28MM</t>
  </si>
  <si>
    <t>JS/102367/25-26</t>
  </si>
  <si>
    <t>NC EMERGE OUS MR 4.00MM X 6MM</t>
  </si>
  <si>
    <t>JS_07632_25-26_SNDH Dec _page_30.pdf</t>
  </si>
  <si>
    <t>https://drive.google.com/file/d/1iuhPg7M8gLEz98RFSGoqNE47ysOJOAu-/view?usp=drivesdk</t>
  </si>
  <si>
    <t>CON25-01426</t>
  </si>
  <si>
    <t>JS/96249/25-26</t>
  </si>
  <si>
    <t>SYNERGY XD MR OUS 3.00MM X 32MM</t>
  </si>
  <si>
    <t>JS/106635/25-26</t>
  </si>
  <si>
    <t>JS_07632_25-26_SNDH Dec _page_31.pdf</t>
  </si>
  <si>
    <t>https://drive.google.com/file/d/1wP8q8NBj2Mt5MAh0pS33aNiQGAXg5WdC/view?usp=drivesdk</t>
  </si>
  <si>
    <t>CON25-01427</t>
  </si>
  <si>
    <t>JS/088513/25-26</t>
  </si>
  <si>
    <t>AGENT DCB MR 4.00 MM X 30 MM</t>
  </si>
  <si>
    <t>JS/098851/25-26</t>
  </si>
  <si>
    <t>FG MAVERICK 2 MR 1.50 MM X 15 MM</t>
  </si>
  <si>
    <t>JS/104525/25-26</t>
  </si>
  <si>
    <t>JS_07632_25-26_SNDH Dec _page_32.pdf</t>
  </si>
  <si>
    <t>https://drive.google.com/file/d/1VREgYs6nONM-8Kh19Na-OTTZijgUOeHV/view?usp=drivesdk</t>
  </si>
  <si>
    <t>CON25-01375</t>
  </si>
  <si>
    <t>JS/102339/25-26</t>
  </si>
  <si>
    <t>MR. SANJAY DNYANOBA KADE</t>
  </si>
  <si>
    <t>JS_07632_25-26_SNDH Dec _page_33.pdf</t>
  </si>
  <si>
    <t>https://drive.google.com/file/d/1mRHjDFy7KcGE22N28v3HmYN8x7Dfpl27/view?usp=drivesdk</t>
  </si>
  <si>
    <t>CON25-01443</t>
  </si>
  <si>
    <t>JS/93377/25-26</t>
  </si>
  <si>
    <t>MR. RATNAKAR BABURAO ANNADATE</t>
  </si>
  <si>
    <t>SYNERGY XD MR OUS 2.50MM X 28MM</t>
  </si>
  <si>
    <t>JS/093270/25-26</t>
  </si>
  <si>
    <t>SYNERGY XD MR OUS 3.50MM X 28MM</t>
  </si>
  <si>
    <t>JS_07632_25-26_SNDH Dec _page_34.pdf</t>
  </si>
  <si>
    <t>https://drive.google.com/file/d/1qdeV3ay4JnstweFVX0cvlWRZIU0WMJNo/view?usp=drivesdk</t>
  </si>
  <si>
    <t>CON25-01451</t>
  </si>
  <si>
    <t>JS/104963/25-26</t>
  </si>
  <si>
    <t>MR.DADARAO SAKHARAM SHINDE</t>
  </si>
  <si>
    <t>JS_07632_25-26_SNDH Dec _page_35.pdf</t>
  </si>
  <si>
    <t>https://drive.google.com/file/d/1llgXD0gIA_II9Z9I13RxoAfZE7JuTNyA/view?usp=drivesdk</t>
  </si>
  <si>
    <t>CON25-01460</t>
  </si>
  <si>
    <t>JS/97153/25-26</t>
  </si>
  <si>
    <t>BHIMA DHONDIBA MOGARE</t>
  </si>
  <si>
    <t>JS_07632_25-26_SNDH Dec _page_36.pdf</t>
  </si>
  <si>
    <t>https://drive.google.com/file/d/1FC1OXKzex1HOM04T6jrTCqkIGPN8JDHJ/view?usp=drivesdk</t>
  </si>
  <si>
    <t>CON25-01476</t>
  </si>
  <si>
    <t>JS/105426/25-26</t>
  </si>
  <si>
    <t>SYNERGY XD MR OUS 2.25MM X 24MM</t>
  </si>
  <si>
    <t>JS/107221/25-26</t>
  </si>
  <si>
    <t>JS_07632_25-26_SNDH Dec _page_37.pdf</t>
  </si>
  <si>
    <t>https://drive.google.com/file/d/199GY3CNJLGYLn45oWzdJ-91ZVTvwQ3ks/view?usp=drivesdk</t>
  </si>
  <si>
    <t>CON25-01481</t>
  </si>
  <si>
    <t>JS/107127/25-26</t>
  </si>
  <si>
    <t>SUNIL ASARAM CHINHDE</t>
  </si>
  <si>
    <t>JS_07632_25-26_SNDH Dec _page_38.pdf</t>
  </si>
  <si>
    <t>https://drive.google.com/file/d/1p8SQTCEpK3ao8RVlrfgRlpheA7tHaMf5/view?usp=drivesdk</t>
  </si>
  <si>
    <t>JS/104598/25-26</t>
  </si>
  <si>
    <t>MR. SATTAR ABDUL SAYYED</t>
  </si>
  <si>
    <t>SYNERGY XD MR OUS 2.75MM X 38MM</t>
  </si>
  <si>
    <t>JS_07632_25-26_SNDH Dec _page_39.pdf</t>
  </si>
  <si>
    <t>https://drive.google.com/file/d/1OQAlYgcNz4Vigc6twPE_R_97xxz6Pmly/view?usp=drivesdk</t>
  </si>
  <si>
    <t>CON25-01487</t>
  </si>
  <si>
    <t>JS/102232/25-2</t>
  </si>
  <si>
    <t>PROMUS PREMIER OUS MR 3.00 X 24</t>
  </si>
  <si>
    <t>JS/106717/25-26</t>
  </si>
  <si>
    <t>FG MAVERICK 2 R 2.50MM X 15MM</t>
  </si>
  <si>
    <t>JS/102531/25-26</t>
  </si>
  <si>
    <t>AGENT DCB MR 2.50 MM X 30 MM</t>
  </si>
  <si>
    <t>JS_07632_25-26_SNDH Dec _page_40.pdf</t>
  </si>
  <si>
    <t>https://drive.google.com/file/d/1uZQLqTnHRYAcUIPybyMwA8xfOlfLYXAL/view?usp=drivesdk</t>
  </si>
  <si>
    <t>CON25-01499</t>
  </si>
  <si>
    <t>JS/106129/25-26</t>
  </si>
  <si>
    <t>JS_07632_25-26_SNDH Dec _page_41.pdf</t>
  </si>
  <si>
    <t>https://drive.google.com/file/d/1HeyAQsh9lPEumu7S-xU8WsUyWP5phIFp/view?usp=drivesdk</t>
  </si>
  <si>
    <t>CON25-01496</t>
  </si>
  <si>
    <t>JS/45301/25-26</t>
  </si>
  <si>
    <t>MR. DEEPAK RAMESHRAO DESHPANDE</t>
  </si>
  <si>
    <t>SYNERGY XD MR OUS 3.50MM X 48MM</t>
  </si>
  <si>
    <t>JS/106131/25-26</t>
  </si>
  <si>
    <t>JS/105465/25-26</t>
  </si>
  <si>
    <t>JS_06571_25-26_SNDH Nov_page_1.pdf</t>
  </si>
  <si>
    <t>https://drive.google.com/file/d/1BSY-4UipYA1YUtXJr60E-td00qqTUrwu/view?usp=drivesdk</t>
  </si>
  <si>
    <t>CON25-01119</t>
  </si>
  <si>
    <t>JS/101737/25-26</t>
  </si>
  <si>
    <t>JS_06571_25-26_SNDH Nov_page_2.pdf</t>
  </si>
  <si>
    <t>https://drive.google.com/file/d/1tPY-ZhinsRnCvfrudmiBCBgkCfUyFsr9/view?usp=drivesdk</t>
  </si>
  <si>
    <t>CON25-01124</t>
  </si>
  <si>
    <t>JS/102067/25-26</t>
  </si>
  <si>
    <t>MR. RAMESHWAR JANARDHAN PUNGALE</t>
  </si>
  <si>
    <t>SYNERGY XD MR OUS 3.00MM X 38MM</t>
  </si>
  <si>
    <t>JS/046180/25-26</t>
  </si>
  <si>
    <t>SYNERGY XD MR OUS 2.75MM X 48MM</t>
  </si>
  <si>
    <t>JS_06571_25-26_SNDH Nov_page_3.pdf</t>
  </si>
  <si>
    <t>https://drive.google.com/file/d/1Y57EVqxyJ35ETTKEan3HuzWBrPqIvw45/view?usp=drivesdk</t>
  </si>
  <si>
    <t>CON25-01131</t>
  </si>
  <si>
    <t>JS/100290/25-26</t>
  </si>
  <si>
    <t>MR. BHARAT HARILAL RATHOD</t>
  </si>
  <si>
    <t>NC EMERGE OUS MR 2.50MM X 8MM</t>
  </si>
  <si>
    <t>JS/102620/25-26</t>
  </si>
  <si>
    <t>JS_06571_25-26_SNDH Nov_page_4.pdf</t>
  </si>
  <si>
    <t>https://drive.google.com/file/d/1C_iC33vly0odIF8QCFmRsoHkeKx_ZYks/view?usp=drivesdk</t>
  </si>
  <si>
    <t>CON25-01132</t>
  </si>
  <si>
    <t>JS/102351/25-26</t>
  </si>
  <si>
    <t>MRS. MEERA SUGRIV DHAKANE</t>
  </si>
  <si>
    <t>NC EMERGE OUS MR 3.00MM X 15MM</t>
  </si>
  <si>
    <t>JS/102614/25-26</t>
  </si>
  <si>
    <t>JS_06571_25-26_SNDH Nov_page_5.pdf</t>
  </si>
  <si>
    <t>https://drive.google.com/file/d/1nFUGkSqzzOUOlLt0qViECe_Pk2wC6f4L/view?usp=drivesdk</t>
  </si>
  <si>
    <t>CON25-01136</t>
  </si>
  <si>
    <t>JS/102354/25-26</t>
  </si>
  <si>
    <t>MR. DADARAO BHAURAO KUND</t>
  </si>
  <si>
    <t>NC EMERGE OUS MR 4.00MM X 15MM</t>
  </si>
  <si>
    <t>JS_06571_25-26_SNDH Nov_page_6.pdf</t>
  </si>
  <si>
    <t>https://drive.google.com/file/d/1PGFKNelGEJ34hYxv3_nDO9uAbxkijuiK/view?usp=drivesdk</t>
  </si>
  <si>
    <t>CON25-01137</t>
  </si>
  <si>
    <t>JS/98213/25-26</t>
  </si>
  <si>
    <t>AGENT DCB MR 2.50 MM X 20 MM</t>
  </si>
  <si>
    <t>JS_06571_25-26_SNDH Nov_page_7.pdf</t>
  </si>
  <si>
    <t>https://drive.google.com/file/d/1xa9_KLtNeEDQVcpgSoShV9ZqFFwrXzh4/view?usp=drivesdk</t>
  </si>
  <si>
    <t>CON25-01128</t>
  </si>
  <si>
    <t>JS/90018/24-25</t>
  </si>
  <si>
    <t>JS/090120/25-26</t>
  </si>
  <si>
    <t>JS/102355/25-26</t>
  </si>
  <si>
    <t>JS_06571_25-26_SNDH Nov_page_8.pdf</t>
  </si>
  <si>
    <t>https://drive.google.com/file/d/1WXjmbQ0_ksp4Wj-rhDN_DeWQupDm47F9/view?usp=drivesdk</t>
  </si>
  <si>
    <t>CON25-01140</t>
  </si>
  <si>
    <t>JS/100183/25-26</t>
  </si>
  <si>
    <t>NC EMERGE OUS MR 2.50MM X 15MM</t>
  </si>
  <si>
    <t>JS/101345/25-26</t>
  </si>
  <si>
    <t>WOLVERINE CB MR OUS 3.00MM X 10MM</t>
  </si>
  <si>
    <t>JS/102840/25-26</t>
  </si>
  <si>
    <t>NC EMERGE OUS MR 3.50MM X 20MM</t>
  </si>
  <si>
    <t>JS/102825/25-26</t>
  </si>
  <si>
    <t>JS_06571_25-26_SNDH Nov_page_9.pdf</t>
  </si>
  <si>
    <t>https://drive.google.com/file/d/1Cg9xlnxSPLoPds_gWZ3lpW5YnR8GSZZa/view?usp=drivesdk</t>
  </si>
  <si>
    <t>CON25-01143</t>
  </si>
  <si>
    <t>JS/102365/25-26</t>
  </si>
  <si>
    <t>MR . VAMANRAO RAMCHANDRA JADHAO</t>
  </si>
  <si>
    <t>NC EMERGE OUS MR 3.00MM X 20MM</t>
  </si>
  <si>
    <t>JS/102382/25-26</t>
  </si>
  <si>
    <t>JS_06571_25-26_SNDH Nov_page_10.pdf</t>
  </si>
  <si>
    <t>https://drive.google.com/file/d/1djAQ1rbmEaTXLbWDnHrYVCBTfcNz1OtH/view?usp=drivesdk</t>
  </si>
  <si>
    <t>CON25-01146</t>
  </si>
  <si>
    <t>JS/99110/25-26</t>
  </si>
  <si>
    <t>SYNERGY XD MR OUS 2.75MM X 28MM</t>
  </si>
  <si>
    <t>JS/100389/25-26</t>
  </si>
  <si>
    <t>SYNERGY XD MR OUS 2.50MM X 16MM</t>
  </si>
  <si>
    <t>JS/097003/25-26</t>
  </si>
  <si>
    <t>SYNERGY XD MR 0US 3.00MM X 38MM</t>
  </si>
  <si>
    <t>JS/102369/25-26</t>
  </si>
  <si>
    <t>JS/048570/25-26</t>
  </si>
  <si>
    <t>JS_06571_25-26_SNDH Nov_page_11.pdf</t>
  </si>
  <si>
    <t>https://drive.google.com/file/d/1QkCexE_kDEtXuddO-TIi2f6LoNbRuRW2/view?usp=drivesdk</t>
  </si>
  <si>
    <t>CON25-01156</t>
  </si>
  <si>
    <t>JS/100181/25-26</t>
  </si>
  <si>
    <t>MR.RAMESH GULABCHNAD MUNDADE</t>
  </si>
  <si>
    <t>JS/102845/25-26</t>
  </si>
  <si>
    <t>JS_06571_25-26_SNDH Nov_page_12.pdf</t>
  </si>
  <si>
    <t>https://drive.google.com/file/d/1n6rPH9rUdIjpiQn9HYcWWSgL_FAh2Ujd/view?usp=drivesdk</t>
  </si>
  <si>
    <t>CON25-01165</t>
  </si>
  <si>
    <t>JS/102358/25-26</t>
  </si>
  <si>
    <t>MRS. LATA SUBHASH GAIKWAD</t>
  </si>
  <si>
    <t>NC EMERGE OUS MR 3.00MM X 12MM</t>
  </si>
  <si>
    <t>JS_06571_25-26_SNDH Nov_page_13.pdf</t>
  </si>
  <si>
    <t>https://drive.google.com/file/d/1wwgBewevtUWlz6Vdw5VPVnsQoibm7nzX/view?usp=drivesdk</t>
  </si>
  <si>
    <t>CON25-01168</t>
  </si>
  <si>
    <t>JS/102527/25-26</t>
  </si>
  <si>
    <t>AGENT DCB MR 2.00 MM X 30 MM</t>
  </si>
  <si>
    <t>JS/103303/25-26</t>
  </si>
  <si>
    <t>JS_06571_25-26_SNDH Nov_page_14.pdf</t>
  </si>
  <si>
    <t>https://drive.google.com/file/d/13Qq6dkzJuVAjVbZRk8d6iVnsLU3zp6ju/view?usp=drivesdk</t>
  </si>
  <si>
    <t>CON25-01170</t>
  </si>
  <si>
    <t>JS/102360/25-26</t>
  </si>
  <si>
    <t>MR. BRAMHANAND DATTATRAY BHUSARI</t>
  </si>
  <si>
    <t>JS/046151/25-26</t>
  </si>
  <si>
    <t>JS_06571_25-26_SNDH Nov_page_15.pdf</t>
  </si>
  <si>
    <t>https://drive.google.com/file/d/1M4d0YG5XSmItV0VOmIhaxeKn34ZLrWol/view?usp=drivesdk</t>
  </si>
  <si>
    <t>CON25-01174</t>
  </si>
  <si>
    <t>JS/102395/25-26</t>
  </si>
  <si>
    <t>MR. PANDURANG PANDITRAO KULKARNI</t>
  </si>
  <si>
    <t>NC EMERGE OUS MR 2.50MM X 12MM</t>
  </si>
  <si>
    <t>JS_06571_25-26_SNDH Nov_page_16.pdf</t>
  </si>
  <si>
    <t>https://drive.google.com/file/d/1KvidWCnbMuwiFiLXxrmPKTNp7garHVa7/view?usp=drivesdk</t>
  </si>
  <si>
    <t>CON25-01176</t>
  </si>
  <si>
    <t>JS/102843/25-26</t>
  </si>
  <si>
    <t>JS/102615/25-26</t>
  </si>
  <si>
    <t>JS/091451/25-26</t>
  </si>
  <si>
    <t>SYNERGY IO MR OUS 3.00MM X 38MM</t>
  </si>
  <si>
    <t>JS_06571_25-26_SNDH Nov_page_17.pdf</t>
  </si>
  <si>
    <t>https://drive.google.com/file/d/1bzrVwOVOzt5XP0lF2yzi5hSHADPHxjvs/view?usp=drivesdk</t>
  </si>
  <si>
    <t>CON25-01180</t>
  </si>
  <si>
    <t>JS/97157/25-26</t>
  </si>
  <si>
    <t>MRS. RUKHMINABAI VISHNU GHODKE</t>
  </si>
  <si>
    <t>JS_06571_25-26_SNDH Nov_page_18.pdf</t>
  </si>
  <si>
    <t>https://drive.google.com/file/d/141jIDzyCrkfc7QGDnSUCPhRI0Mibrcvh/view?usp=drivesdk</t>
  </si>
  <si>
    <t>CON25-01188</t>
  </si>
  <si>
    <t>JS/102396/25-26</t>
  </si>
  <si>
    <t>MR VISHWNATH RAMDAS KATHAR</t>
  </si>
  <si>
    <t>JS_06571_25-26_SNDH Nov_page_19.pdf</t>
  </si>
  <si>
    <t>https://drive.google.com/file/d/18RMKuex-R3WXBDbkfqjGVAZfvNBiVf52/view?usp=drivesdk</t>
  </si>
  <si>
    <t>CON25-01193</t>
  </si>
  <si>
    <t>JS/103307/25-26</t>
  </si>
  <si>
    <t>MRS. PADMABAI BHAURAO GAIKWAD</t>
  </si>
  <si>
    <t>JS_06571_25-26_SNDH Nov_page_20.pdf</t>
  </si>
  <si>
    <t>https://drive.google.com/file/d/1OJyUF_Cwou1UHIJE2R3CftBabuA5X4af/view?usp=drivesdk</t>
  </si>
  <si>
    <t>CON25-01195</t>
  </si>
  <si>
    <t>JS/101586/25-26</t>
  </si>
  <si>
    <t>MR. MUKUNDRAO DOIFODE</t>
  </si>
  <si>
    <t>WOLVERINE CB MR OUS 3.00MM X 15MM</t>
  </si>
  <si>
    <t>JS_06571_25-26_SNDH Nov_page_21.pdf</t>
  </si>
  <si>
    <t>https://drive.google.com/file/d/1WHoaUq9VTBLqnIIOw3bqaaMsQUhm3BmE/view?usp=drivesdk</t>
  </si>
  <si>
    <t>CON25-01197</t>
  </si>
  <si>
    <t>JS/101336/25-26</t>
  </si>
  <si>
    <t>JS_06571_25-26_SNDH Nov_page_22.pdf</t>
  </si>
  <si>
    <t>https://drive.google.com/file/d/1G_DTJqoyP-kQhp_E2pMW9DlYBqUiD1Cx/view?usp=drivesdk</t>
  </si>
  <si>
    <t>CON25-01202</t>
  </si>
  <si>
    <t>JS/101756/25-26</t>
  </si>
  <si>
    <t>MR. SHIVAJI ONKARRAO CHAVAN</t>
  </si>
  <si>
    <t>JS_06571_25-26_SNDH Nov_page_23.pdf</t>
  </si>
  <si>
    <t>https://drive.google.com/file/d/1hRgapJS3Oq15SNW6Ym-Up05e9dUt3ySc/view?usp=drivesdk</t>
  </si>
  <si>
    <t>CON25-01207</t>
  </si>
  <si>
    <t>JS/047359/25-26</t>
  </si>
  <si>
    <t>MR. SUBHASH SAKHARAM RAUT</t>
  </si>
  <si>
    <t>JS/104382/25-26</t>
  </si>
  <si>
    <t>JS_06571_25-26_SNDH Nov_page_24.pdf</t>
  </si>
  <si>
    <t>https://drive.google.com/file/d/1TolGJyM9Y9X-fy09mSJ5TAj1HqQNQ8nf/view?usp=drivesdk</t>
  </si>
  <si>
    <t>CON25-01211</t>
  </si>
  <si>
    <t>JS/45199/25-26</t>
  </si>
  <si>
    <t>SYNERGY XD MR OUS 2.50MM X 20MM</t>
  </si>
  <si>
    <t>JS/045247/25-26</t>
  </si>
  <si>
    <t>JS/103293/25-26</t>
  </si>
  <si>
    <t>JS_06571_25-26_SNDH Nov_page_25.pdf</t>
  </si>
  <si>
    <t>https://drive.google.com/file/d/1jEzUPLC5enWuPc-PrNuyjngSYbnxZ3Tr/view?usp=drivesdk</t>
  </si>
  <si>
    <t>CON25-01210</t>
  </si>
  <si>
    <t>JS/91563/24-25</t>
  </si>
  <si>
    <t>JS/100057/25-26</t>
  </si>
  <si>
    <t>SYNERGY XD MR OUS 3.50MM X 20MM</t>
  </si>
  <si>
    <t>JS/102407/25-26</t>
  </si>
  <si>
    <t>NC EMERGE OUS MR 3.00MM X 8MM</t>
  </si>
  <si>
    <t>JS/041943/25-26</t>
  </si>
  <si>
    <t>JS/103292/25-26</t>
  </si>
  <si>
    <t>JS/41590/24-25</t>
  </si>
  <si>
    <t>SYNERGY XD MR OUS 2.75MM X 24MM</t>
  </si>
  <si>
    <t>JS_06571_25-26_SNDH Nov_page_27.pdf</t>
  </si>
  <si>
    <t>https://drive.google.com/file/d/1KUKTgUynB44ibe2dmApC8qM3PcAdtS5Y/view?usp=drivesdk</t>
  </si>
  <si>
    <t>CON25-01152</t>
  </si>
  <si>
    <t>JS/102359/25-26</t>
  </si>
  <si>
    <t>JS_06571_25-26_SNDH Nov_page_26.pdf</t>
  </si>
  <si>
    <t>https://drive.google.com/file/d/1M9DALeySkhzeEN4P3IPBM-cJP__73vzw/view?usp=drivesdk</t>
  </si>
  <si>
    <t>CON25-01218</t>
  </si>
  <si>
    <t>JS/100400/25-26</t>
  </si>
  <si>
    <t>JS_06571_25-26_SNDH Nov_page_28.pdf</t>
  </si>
  <si>
    <t>https://drive.google.com/file/d/1DLPTU1Aia2WCsx2C_9gGDG9Qof36pELo/view?usp=drivesdk</t>
  </si>
  <si>
    <t>CON25-01155</t>
  </si>
  <si>
    <t>JS/92029/25-26</t>
  </si>
  <si>
    <t>SANDIPAN SURYABHAN SHINDE</t>
  </si>
  <si>
    <t>SYNERGY XD MR OUS 2.25MM X 32MM</t>
  </si>
  <si>
    <t>JS/102406/25-26</t>
  </si>
  <si>
    <t>JS/103306/25-26</t>
  </si>
  <si>
    <t>JS_06571_25-26_SNDH Nov_page_29.pdf</t>
  </si>
  <si>
    <t>https://drive.google.com/file/d/1K5ryn3rE4s2WkG2B7MIVKbLQupP3-Wu2/view?usp=drivesdk</t>
  </si>
  <si>
    <t>CON25-01158</t>
  </si>
  <si>
    <t>JS/102350/25-2</t>
  </si>
  <si>
    <t>SURESH MOHAN GIRI</t>
  </si>
  <si>
    <t>JS_06571_25-26_SNDH Nov_page_30.pdf</t>
  </si>
  <si>
    <t>https://drive.google.com/file/d/1ir0-j407vQHf13KZd3Z7_7ACPQ033I_d/view?usp=drivesdk</t>
  </si>
  <si>
    <t>CON25-01221</t>
  </si>
  <si>
    <t>JS/100503/25-26</t>
  </si>
  <si>
    <t>MR. SAROJ EKNATH CHALAK</t>
  </si>
  <si>
    <t>JS_06571_25-26_SNDH Nov_page_31.pdf</t>
  </si>
  <si>
    <t>https://drive.google.com/file/d/1zbmcgEoEQ2co1Uaf6B1PeroHcWjqe_A_/view?usp=drivesdk</t>
  </si>
  <si>
    <t>CON25-01223</t>
  </si>
  <si>
    <t>JS/91343/25-26</t>
  </si>
  <si>
    <t>MR. PANCHAFULA DATTARAY KHILLARI</t>
  </si>
  <si>
    <t>PROMUS PREMIER OUS MR 2.75 X 28</t>
  </si>
  <si>
    <t>JS_06571_25-26_SNDH Nov_page_32.pdf</t>
  </si>
  <si>
    <t>https://drive.google.com/file/d/1LYA3-pqbddwsD_ygl4eFSeEDCPuI84zR/view?usp=drivesdk</t>
  </si>
  <si>
    <t>CON25-01163</t>
  </si>
  <si>
    <t>JS/102409/25-26</t>
  </si>
  <si>
    <t>MRS. ANNAPURNA SAKHARAM KAKADE</t>
  </si>
  <si>
    <t>JS_06571_25-26_SNDH Nov_page_33.pdf</t>
  </si>
  <si>
    <t>https://drive.google.com/file/d/1-d6e51wQsTfANVvBdjh4AGML4kcpqaQ0/view?usp=drivesdk</t>
  </si>
  <si>
    <t>CON25-01171</t>
  </si>
  <si>
    <t>JS/102844/25-26</t>
  </si>
  <si>
    <t>MR. RAJENDRA RAMRATAN GIRI</t>
  </si>
  <si>
    <t>JS/089417/25-26</t>
  </si>
  <si>
    <t>JS_06571_25-26_SNDH Nov_page_34.pdf</t>
  </si>
  <si>
    <t>https://drive.google.com/file/d/1ukOyWAeAb32zBrpg3IDzW7ZGwgwzsnjA/view?usp=drivesdk</t>
  </si>
  <si>
    <t>CON25-01228</t>
  </si>
  <si>
    <t>JS/97872/25-26</t>
  </si>
  <si>
    <t>MR. PARASRAM NARAYAN DEVKAR</t>
  </si>
  <si>
    <t>PROMUS PREMIER OUS MR 3.00 X 32</t>
  </si>
  <si>
    <t>JS_06571_25-26_SNDH Nov_page_35.pdf</t>
  </si>
  <si>
    <t>https://drive.google.com/file/d/1DPw19TdxEW0jpW6zYA6ceOA4vNQf_A0p/view?usp=drivesdk</t>
  </si>
  <si>
    <t>CON25-01226</t>
  </si>
  <si>
    <t>JS/43312/24-25</t>
  </si>
  <si>
    <t>MR. NAMDEV BHIVSAN PAWAR</t>
  </si>
  <si>
    <t>JS/102394/25-26</t>
  </si>
  <si>
    <t>JS/103199/25-26</t>
  </si>
  <si>
    <t>SYNERGY XD MR OUS 3.50MM X 38MM</t>
  </si>
  <si>
    <t>JS/102097/25-26</t>
  </si>
  <si>
    <t>SYNERGY XO MR OUS 3.00MM X 38MM</t>
  </si>
  <si>
    <t>JS_06571_25-26_SNDH Nov_page_36.pdf</t>
  </si>
  <si>
    <t>https://drive.google.com/file/d/1rltKbQJMhORfUkKx_iw8A-GQrgXDMLhU/view?usp=drivesdk</t>
  </si>
  <si>
    <t>CON25-01233</t>
  </si>
  <si>
    <t>JS/102403/25-26</t>
  </si>
  <si>
    <t>MR. NASER ABDUL SHAIKH</t>
  </si>
  <si>
    <t>NC EMERGE OUS MR 3.50MM X 8MM</t>
  </si>
  <si>
    <t>JS_06571_25-26_SNDH Nov_page_37.pdf</t>
  </si>
  <si>
    <t>https://drive.google.com/file/d/17eIcXkWqmi1K1n6SZHn2Dc992bchqPT-/view?usp=drivesdk</t>
  </si>
  <si>
    <t>CON25-01235</t>
  </si>
  <si>
    <t>JS/102405/25-26</t>
  </si>
  <si>
    <t>MR. SUDHAKAR SAKHARAM GANDHILE</t>
  </si>
  <si>
    <t>JS_06571_25-26_SNDH Nov_page_38.pdf</t>
  </si>
  <si>
    <t>https://drive.google.com/file/d/1ob8iFRMAczVuw7TLhSku6oBDh9fnd26F/view?usp=drivesdk</t>
  </si>
  <si>
    <t>CON25-01237</t>
  </si>
  <si>
    <t>JS/088838/25-26</t>
  </si>
  <si>
    <t>JS/096807/25-26</t>
  </si>
  <si>
    <t>JS_06571_25-26_SNDH Nov_page_39.pdf</t>
  </si>
  <si>
    <t>https://drive.google.com/file/d/1HcLGX70bjMFmdQu1fN04BTHU_BI3ZOFL/view?usp=drivesdk</t>
  </si>
  <si>
    <t>CON25-01240</t>
  </si>
  <si>
    <t>JS/089864/25-26</t>
  </si>
  <si>
    <t>JS_06571_25-26_SNDH Nov_page_40.pdf</t>
  </si>
  <si>
    <t>https://drive.google.com/file/d/1Yx0Qd-wmT_eHr2b8MTA0X8zNE58yyjeP/view?usp=drivesdk</t>
  </si>
  <si>
    <t>CON25-01250</t>
  </si>
  <si>
    <t>JS/102165/25-26</t>
  </si>
  <si>
    <t>MR. RACHNA SUBODH MATHUR</t>
  </si>
  <si>
    <t>JS/104368/25-26</t>
  </si>
  <si>
    <t>JS_06571_25-26_SNDH Nov_page_41.pdf</t>
  </si>
  <si>
    <t>https://drive.google.com/file/d/159APZgtV3JXzUKVZq1g18ypDCiV1taFa/view?usp=drivesdk</t>
  </si>
  <si>
    <t>CON25-01252</t>
  </si>
  <si>
    <t>JS/102376/25-26</t>
  </si>
  <si>
    <t>JS/102398/25-26</t>
  </si>
  <si>
    <t>JS/104854/25-26</t>
  </si>
  <si>
    <t>JS_06571_25-26_SNDH Nov_page_42.pdf</t>
  </si>
  <si>
    <t>https://drive.google.com/file/d/1E03hk9jQ1Z-xbCal1G4sFnnTrp9jlXme/view?usp=drivesdk</t>
  </si>
  <si>
    <t>CON25-01260</t>
  </si>
  <si>
    <t>JS/099512/25-26</t>
  </si>
  <si>
    <t>MRS. RADHABAI JANARDHAN SURWASE</t>
  </si>
  <si>
    <t>WOLVERINE CB MR OUS 2.75MM X 15MM</t>
  </si>
  <si>
    <t>JS/102375/25-26</t>
  </si>
  <si>
    <t>JS/102404/25-26</t>
  </si>
  <si>
    <t>NC EMERGE OR US 2.50MM X 15MM</t>
  </si>
  <si>
    <t>JS/104526/25-26</t>
  </si>
  <si>
    <t>JS_06571_25-26_SNDH Nov_page_43.pdf</t>
  </si>
  <si>
    <t>https://drive.google.com/file/d/1zS0Tqf7sQ3z-XgCwKBzxPIVvDhMFD3Bp/view?usp=drivesdk</t>
  </si>
  <si>
    <t>CON25-01258</t>
  </si>
  <si>
    <t>JS/102408/25-26</t>
  </si>
  <si>
    <t>JS/102559/25-26</t>
  </si>
  <si>
    <t>S MEGATRON OUS MR 4.00MM X 20MM</t>
  </si>
  <si>
    <t>JS_06571_25-26_SNDH Nov_page_44.pdf</t>
  </si>
  <si>
    <t>https://drive.google.com/file/d/10nka2-YCA0IWgPecAoU3B0WgWhYKe8yy/view?usp=drivesdk</t>
  </si>
  <si>
    <t>CON25-01262</t>
  </si>
  <si>
    <t>JS/92970/25-26</t>
  </si>
  <si>
    <t>MR. ZANAKRAO KUNDALIKRAO MASKE</t>
  </si>
  <si>
    <t>NC EMERGE MR OUS 3.25MM X 06MM</t>
  </si>
  <si>
    <t>JS/90263/25-26</t>
  </si>
  <si>
    <t>PROMUS PREMIER OUS MR 3.00 X 28</t>
  </si>
  <si>
    <t>JS_06571_25-26_SNDH Nov_page_45.pdf</t>
  </si>
  <si>
    <t>https://drive.google.com/file/d/1aqlvcLyIWZNYS2YuZctYwNbS7LPznpig/view?usp=drivesdk</t>
  </si>
  <si>
    <t>JS/099978/25-26</t>
  </si>
  <si>
    <t>JS_06571_25-26_SNDH Nov_page_46.pdf</t>
  </si>
  <si>
    <t>https://drive.google.com/file/d/15ZRTEiKZbC_d5NH03gMMC8-ye0aRYBdv/view?usp=drivesdk</t>
  </si>
  <si>
    <t>CON25-01266</t>
  </si>
  <si>
    <t>JS/102401/25-26</t>
  </si>
  <si>
    <t>MR. ANIL RAMLAL JAISWAL</t>
  </si>
  <si>
    <t>JS_06571_25-26_SNDH Nov_page_47.pdf</t>
  </si>
  <si>
    <t>https://drive.google.com/file/d/1fDA7TDpronmskYibwlNKoqmPo4aK4B4L/view?usp=drivesdk</t>
  </si>
  <si>
    <t>CON25-01268</t>
  </si>
  <si>
    <t>JS/40036/25-26</t>
  </si>
  <si>
    <t>S MEGATRON OUS MR 3.50MM X 24MM</t>
  </si>
  <si>
    <t>JS/94799/25-26</t>
  </si>
  <si>
    <t>SYNERGY XO MR 2.75MM X 38MM</t>
  </si>
  <si>
    <t>JS/101488/25-26</t>
  </si>
  <si>
    <t>SYNERGY XO MR 2.50MM X 12MM</t>
  </si>
  <si>
    <t>JS/104856/25-26</t>
  </si>
  <si>
    <t>JS_06571_25-26_SNDH Nov_page_48.pdf</t>
  </si>
  <si>
    <t>https://drive.google.com/file/d/1BJ4ECFUH8G1rS8MxNeCY5Du73-QxypJf/view?usp=drivesdk</t>
  </si>
  <si>
    <t>CON25-01271</t>
  </si>
  <si>
    <t>JS/47449/24-25</t>
  </si>
  <si>
    <t>JS/102377/25-26</t>
  </si>
  <si>
    <t>JS_06571_25-26_SNDH Nov_page_49.pdf</t>
  </si>
  <si>
    <t>https://drive.google.com/file/d/1yVhRkyyWfrSypFXhljnnsxrfY5cGuA0t/view?usp=drivesdk</t>
  </si>
  <si>
    <t>CON25-01273</t>
  </si>
  <si>
    <t>JS/102393/25-26</t>
  </si>
  <si>
    <t>MR. KHUSHALRAO SAKHARAM NARWADE</t>
  </si>
  <si>
    <t>JS/102224/25-26</t>
  </si>
  <si>
    <t>PROMUS PREMIER OUS MR 3.50 X 38</t>
  </si>
  <si>
    <t>JS_06571_25-26_SNDH Nov_page_50.pdf</t>
  </si>
  <si>
    <t>https://drive.google.com/file/d/1Qia5xI5sQTuNbmaQSnid3DwDLsi26ghX/view?usp=drivesdk</t>
  </si>
  <si>
    <t>CON25-01274</t>
  </si>
  <si>
    <t>JS/102364/25-26</t>
  </si>
  <si>
    <t>MRS. ASHABAI YEDU THENG</t>
  </si>
  <si>
    <t>NC EMERGE OUS MR 2.75MM X 12MM</t>
  </si>
  <si>
    <t>JS_06571_25-26_SNDH Nov_page_51.pdf</t>
  </si>
  <si>
    <t>https://drive.google.com/file/d/1hhd_IVNRl9m7_kAJTqKOsOFwD3_WzZPj/view?usp=drivesdk</t>
  </si>
  <si>
    <t>CON25-01277</t>
  </si>
  <si>
    <t>JS/046678/25-26</t>
  </si>
  <si>
    <t>MR. PARAS POPATLAL PHALTANKAR</t>
  </si>
  <si>
    <t>WOLVERINE CB MR OUS 3.50MM X 10MM</t>
  </si>
  <si>
    <t>JS_06571_25-26_SNDH Nov_page_52.pdf</t>
  </si>
  <si>
    <t>https://drive.google.com/file/d/1T6wnCq9tAypsVPmui0b_qEHvGDi-DhCt/view?usp=drivesdk</t>
  </si>
  <si>
    <t>CON25-01279</t>
  </si>
  <si>
    <t>JS/102470/25-26</t>
  </si>
  <si>
    <t>MR. SUBHASHCHAND SHANTILAL SISODIYA</t>
  </si>
  <si>
    <t>JS_06571_25-26_SNDH Nov_page_53.pdf</t>
  </si>
  <si>
    <t>https://drive.google.com/file/d/1b7g5dJj_vNIpI-0CTQb5eVpC1CNbl0j9/view?usp=drivesdk</t>
  </si>
  <si>
    <t>CON25-01281</t>
  </si>
  <si>
    <t>JS/98587/25-26</t>
  </si>
  <si>
    <t>MR. MUSLAM BIN ALI CHAUS</t>
  </si>
  <si>
    <t>JS_06571_25-26_SNDH Nov_page_54.pdf</t>
  </si>
  <si>
    <t>https://drive.google.com/file/d/1wpLA9CvRpeHGrhHWddOESO4wflaZ8D2U/view?usp=drivesdk</t>
  </si>
  <si>
    <t>CON25-01283</t>
  </si>
  <si>
    <t>JS/101445/25-26</t>
  </si>
  <si>
    <t>MR. RAMCHANDRA PANDITRAO MULEY</t>
  </si>
  <si>
    <t>JS/104623/25-26</t>
  </si>
  <si>
    <t>JS/102163/25-26</t>
  </si>
  <si>
    <t>JS_06571_25-26_SNDH Nov_page_55.pdf</t>
  </si>
  <si>
    <t>https://drive.google.com/file/d/1kEH9zqIiunzQChyE1prQLc2uUpZ-VATp/view?usp=drivesdk</t>
  </si>
  <si>
    <t>CON25-01287</t>
  </si>
  <si>
    <t>JS/101956/25-26</t>
  </si>
  <si>
    <t>JS_06571_25-26_SNDH Nov_page_56.pdf</t>
  </si>
  <si>
    <t>https://drive.google.com/file/d/1-p0bGuka3PGiaYMqLwPucYX_8I7TbURS/view?usp=drivesdk</t>
  </si>
  <si>
    <t>CON25-01290</t>
  </si>
  <si>
    <t>JS/101331/25-26</t>
  </si>
  <si>
    <t>MR. SURESH PANDIT WAGH</t>
  </si>
  <si>
    <t>JS/104855/25-26</t>
  </si>
  <si>
    <t>JS_06571_25-26_SNDH Nov_page_57.pdf</t>
  </si>
  <si>
    <t>https://drive.google.com/file/d/1T8WvYUCZyff4on7WtfOtW8VFqd1XGR-d/view?usp=drivesdk</t>
  </si>
  <si>
    <t>JS/102370/25-26</t>
  </si>
  <si>
    <t>MRS. KALAVATI HIMMATRAO SHEWALE</t>
  </si>
  <si>
    <t>JS_06571_25-26_SNDH Nov_page_58.pdf</t>
  </si>
  <si>
    <t>https://drive.google.com/file/d/150vR0wJ4toIE_Hij1S8zsYeiQhLdsfZa/view?usp=drivesdk</t>
  </si>
  <si>
    <t>CON025-01295</t>
  </si>
  <si>
    <t>JS/101754/25-26</t>
  </si>
  <si>
    <t>MRS. INDUJABI KISANRAO DESHMUKH</t>
  </si>
  <si>
    <t>JS_05645_25-26_SNDH Oct_page_1.pdf</t>
  </si>
  <si>
    <t>https://drive.google.com/file/d/1l5SbfAzd9xeKLFK6KjY11Ufkm5Am-SbM/view?usp=drivesdk</t>
  </si>
  <si>
    <t>CON25-00933</t>
  </si>
  <si>
    <t>JS/100219/25-26</t>
  </si>
  <si>
    <t>MR.NANDKISHOR LAXMINARAYAN PARATI</t>
  </si>
  <si>
    <t>JS_05645_25-26_SNDH Oct_page_2.pdf</t>
  </si>
  <si>
    <t>https://drive.google.com/file/d/1UECbthjHYi5vu2UFbLyRA18WpE4wuFfK/view?usp=drivesdk</t>
  </si>
  <si>
    <t>CON25-00935</t>
  </si>
  <si>
    <t>JS/98008/25-26</t>
  </si>
  <si>
    <t>MR.SOJAR GORAKH AHER</t>
  </si>
  <si>
    <t>JS/101342/25-26</t>
  </si>
  <si>
    <t>JS_05645_25-26_SNDH Oct_page_3.pdf</t>
  </si>
  <si>
    <t>https://drive.google.com/file/d/1WIR5zsAcLbIwG2FlFQ9iB1t92uqiuIIB/view?usp=drivesdk</t>
  </si>
  <si>
    <t>CON25-00937</t>
  </si>
  <si>
    <t>JS/89183/25-26</t>
  </si>
  <si>
    <t>SYNERGY XD MR OUS 4.00MM X 24MM</t>
  </si>
  <si>
    <t>JS/101332/25-26</t>
  </si>
  <si>
    <t>JS_05645_25-26_SNDH Oct_page_4.pdf</t>
  </si>
  <si>
    <t>https://drive.google.com/file/d/1bKqPqFj1Zmya3um2ZxTa34NmZszqnm6b/view?usp=drivesdk</t>
  </si>
  <si>
    <t>CON25-00940</t>
  </si>
  <si>
    <t>JS/41808/25-26</t>
  </si>
  <si>
    <t>MR. SHAUKH ASHFAQUE SHAIKH IBRAHIM</t>
  </si>
  <si>
    <t>JS/97897/25-26</t>
  </si>
  <si>
    <t>JS/100824/25-26</t>
  </si>
  <si>
    <t>JS/101339/25-26</t>
  </si>
  <si>
    <t>JS_05645_25-26_SNDH Oct_page_5.pdf</t>
  </si>
  <si>
    <t>https://drive.google.com/file/d/1j-IebNaEAFQ1iFXUE_H5sML-oF1WJDx1/view?usp=drivesdk</t>
  </si>
  <si>
    <t>CON25-00945</t>
  </si>
  <si>
    <t>JS/100286/25-26</t>
  </si>
  <si>
    <t>JS/099841/25-26</t>
  </si>
  <si>
    <t>WOLVERINE CB MR OUS 3.50MM X 15MM</t>
  </si>
  <si>
    <t>JS/101191/25-26</t>
  </si>
  <si>
    <t>NC EMERGE OUS MR 3.50MM X 15MM</t>
  </si>
  <si>
    <t>JS_05645_25-26_SNDH Oct_page_6.pdf</t>
  </si>
  <si>
    <t>https://drive.google.com/file/d/1cvcsSPLPILT_n-AayIqIYowHvF8IGBc7/view?usp=drivesdk</t>
  </si>
  <si>
    <t>CON25-00872</t>
  </si>
  <si>
    <t>JS/100505/25-26</t>
  </si>
  <si>
    <t>MR. MAHADEV HARIBHAU MAHALE</t>
  </si>
  <si>
    <t>JS_05645_25-26_SNDH Oct_page_7.pdf</t>
  </si>
  <si>
    <t>https://drive.google.com/file/d/10GfDTfPprAuuf4t00tv5NMWQY2ItWuji/view?usp=drivesdk</t>
  </si>
  <si>
    <t>CON25-00875</t>
  </si>
  <si>
    <t>JS/97007/25-26</t>
  </si>
  <si>
    <t>MR. PANDURANG SADASHIV DAVHALE</t>
  </si>
  <si>
    <t>SYNERGY XD MR OUS 3.00MM X 48MM</t>
  </si>
  <si>
    <t>JS_05645_25-26_SNDH Oct_page_8.pdf</t>
  </si>
  <si>
    <t>https://drive.google.com/file/d/1Y8dKz5-hrr7jzLpPHyND3NDFbj1PTDFD/view?usp=drivesdk</t>
  </si>
  <si>
    <t>CON25-00914</t>
  </si>
  <si>
    <t>JS/97200/25-26</t>
  </si>
  <si>
    <t>MR. AMAD IMAM SHAIKH</t>
  </si>
  <si>
    <t>JS_05645_25-26_SNDH Oct_page_9.pdf</t>
  </si>
  <si>
    <t>https://drive.google.com/file/d/1zoxQhR4ZR-CKWAaGwxrY0azr051IHGc1/view?usp=drivesdk</t>
  </si>
  <si>
    <t>CON25-00962</t>
  </si>
  <si>
    <t>JS/096910/25-26</t>
  </si>
  <si>
    <t>JS_05645_25-26_SNDH Oct_page_10.pdf</t>
  </si>
  <si>
    <t>https://drive.google.com/file/d/1duqh_amEKIR0MUXXoGmKGTGdDlW9Ka2J/view?usp=drivesdk</t>
  </si>
  <si>
    <t>CON25-00960</t>
  </si>
  <si>
    <t>JS/101341/25-26</t>
  </si>
  <si>
    <t>MR. SHIKH AHMAD SHIKH GAFUR</t>
  </si>
  <si>
    <t>JS_05645_25-26_SNDH Oct_page_11.pdf</t>
  </si>
  <si>
    <t>https://drive.google.com/file/d/1DG84fWLfjLqQDbR-66BKix6cy1fphz-V/view?usp=drivesdk</t>
  </si>
  <si>
    <t>CON25-00956</t>
  </si>
  <si>
    <t>JS/96980/25-26</t>
  </si>
  <si>
    <t>MR. ANANTKUMAR PRABHAKAR KODANDE</t>
  </si>
  <si>
    <t>JS/099199/25-26</t>
  </si>
  <si>
    <t>JS/098734/25-26</t>
  </si>
  <si>
    <t>JS/101432/25-26</t>
  </si>
  <si>
    <t>JS_05645_25-26_SNDH Oct_page_12.pdf</t>
  </si>
  <si>
    <t>https://drive.google.com/file/d/1REPk7II1hJFPOohqjZBZMcxwS80S1zII/view?usp=drivesdk</t>
  </si>
  <si>
    <t>CON25-00966</t>
  </si>
  <si>
    <t>JS/101760/25-26</t>
  </si>
  <si>
    <t>JS/92107/25-26</t>
  </si>
  <si>
    <t>SYNERGY XD MR OUS 2.5MM X 32MM</t>
  </si>
  <si>
    <t>JS_05645_25-26_SNDH Oct_page_13.pdf</t>
  </si>
  <si>
    <t>https://drive.google.com/file/d/16JcSNHyTaOb4sNUTIOwoPYPzEyfmTcf0/view?usp=drivesdk</t>
  </si>
  <si>
    <t>CON25-00967</t>
  </si>
  <si>
    <t>JS/42725/24-25</t>
  </si>
  <si>
    <t>S MEGATRON OUS MR 3.50MM X 12MM</t>
  </si>
  <si>
    <t>JS/42923/25-26</t>
  </si>
  <si>
    <t>SYNERGY XD MR OUS 2.50MM X 32MM</t>
  </si>
  <si>
    <t>JS/91428/25-26</t>
  </si>
  <si>
    <t>SYNERGY XO MR OUS 2.50MM X 48MM</t>
  </si>
  <si>
    <t>JS/100394/25-26</t>
  </si>
  <si>
    <t>JS/101189/25-26</t>
  </si>
  <si>
    <t>JS_05645_25-26_SNDH Oct_page_14.pdf</t>
  </si>
  <si>
    <t>https://drive.google.com/file/d/1S5HIbVqDswT1KV5O_XuE99mRhZSvomAW/view?usp=drivesdk</t>
  </si>
  <si>
    <t>CON25-00969</t>
  </si>
  <si>
    <t>JS/100282/25-26</t>
  </si>
  <si>
    <t>MRS. VIMAL BABUSING JADHAV</t>
  </si>
  <si>
    <t>JS_05645_25-26_SNDH Oct_page_15.pdf</t>
  </si>
  <si>
    <t>https://drive.google.com/file/d/1lFUxuATxMTiM7Npey9_fXYZID0GPDHGX/view?usp=drivesdk</t>
  </si>
  <si>
    <t>CON25-00976</t>
  </si>
  <si>
    <t>JS/101330/25-26</t>
  </si>
  <si>
    <t>MR. SANDU KISAN PANDE</t>
  </si>
  <si>
    <t>JS/101338/25-26</t>
  </si>
  <si>
    <t>JS/045056/25-26</t>
  </si>
  <si>
    <t>JS_05645_25-26_SNDH Oct_page_16.pdf</t>
  </si>
  <si>
    <t>https://drive.google.com/file/d/1jX3-UtMyTe78HY1mX2Hh01fxl0qH61vI/view?usp=drivesdk</t>
  </si>
  <si>
    <t>CON25-00977</t>
  </si>
  <si>
    <t>JS/101343/25-26</t>
  </si>
  <si>
    <t>MR. ASHOK RAMCHANDRARAO KOTHIKHANE</t>
  </si>
  <si>
    <t>JS_05645_25-26_SNDH Oct_page_17.pdf</t>
  </si>
  <si>
    <t>https://drive.google.com/file/d/1_Y9HoZ2i2CEQ6NmmEkYkioiKJ5EAXReH/view?usp=drivesdk</t>
  </si>
  <si>
    <t>CON25-00988</t>
  </si>
  <si>
    <t>JS/101334/25-26</t>
  </si>
  <si>
    <t>MR. GAURAV RAMAN SAHUJI</t>
  </si>
  <si>
    <t>JS_05645_25-26_SNDH Oct_page_18.pdf</t>
  </si>
  <si>
    <t>https://drive.google.com/file/d/1Q-aMP6kEg1GampM2CpT8tMfCF9p0BhnN/view?usp=drivesdk</t>
  </si>
  <si>
    <t>CON25-00985</t>
  </si>
  <si>
    <t>JS/47786/25-26</t>
  </si>
  <si>
    <t>MR. SANDEEP NANAVARE</t>
  </si>
  <si>
    <t>NC EMERGE OUS MR 4.00MM X 8MM</t>
  </si>
  <si>
    <t>JS/100395/25-26</t>
  </si>
  <si>
    <t>JS/092007/25-26</t>
  </si>
  <si>
    <t>SYNERGY XD MR 3.00MM X 28MM</t>
  </si>
  <si>
    <t>JS_05645_25-26_SNDH Oct_page_19.pdf</t>
  </si>
  <si>
    <t>https://drive.google.com/file/d/1_GPjzkaglz9Y8vdUDE2ufes2JBK4QvNy/view?usp=drivesdk</t>
  </si>
  <si>
    <t>CON25-00987</t>
  </si>
  <si>
    <t>JS/101327/25-26</t>
  </si>
  <si>
    <t>MR. SANTOSH VIJAY IDHOLE</t>
  </si>
  <si>
    <t>JS/101344/25-26</t>
  </si>
  <si>
    <t>JS_05645_25-26_SNDH Oct_page_20.pdf</t>
  </si>
  <si>
    <t>https://drive.google.com/file/d/1Zy1CbNA7BHmG-Djuc1ToVR33YtwRRV0N/view?usp=drivesdk</t>
  </si>
  <si>
    <t>CON25-00990</t>
  </si>
  <si>
    <t>JS/48778/24-25</t>
  </si>
  <si>
    <t>JS/89168/24-25</t>
  </si>
  <si>
    <t>JS/93174/25-26</t>
  </si>
  <si>
    <t>SYNERGY XD MR OUS 4.00MM X 20MM</t>
  </si>
  <si>
    <t>JS/96944/25-26</t>
  </si>
  <si>
    <t>JS/97142/25-26</t>
  </si>
  <si>
    <t>JS/48278/25-26</t>
  </si>
  <si>
    <t>JS/100100/25-26</t>
  </si>
  <si>
    <t>JS_05645_25-26_SNDH Oct_page_21.pdf</t>
  </si>
  <si>
    <t>https://drive.google.com/file/d/1YOHsR98OPQCm2VmCetC93Vg8MiUZo5qy/view?usp=drivesdk</t>
  </si>
  <si>
    <t>JS/093488/25-26</t>
  </si>
  <si>
    <t>MRS. SANGITA KISHOR WALSE</t>
  </si>
  <si>
    <t>JS_05645_25-26_SNDH Oct_page_22.pdf</t>
  </si>
  <si>
    <t>https://drive.google.com/file/d/12LwsuOuC8EjupfbzU6DpUd2iRHOl-Ary/view?usp=drivesdk</t>
  </si>
  <si>
    <t>CON25-00991</t>
  </si>
  <si>
    <t>JS/41586/25-26</t>
  </si>
  <si>
    <t>SYNERGY XD MR OUS 2.50MM X 24MM</t>
  </si>
  <si>
    <t>JS_05645_25-26_SNDH Oct_page_23.pdf</t>
  </si>
  <si>
    <t>https://drive.google.com/file/d/1gwKKYqi3qQWZajdWSgIV9hGmQv5AmvY0/view?usp=drivesdk</t>
  </si>
  <si>
    <t>JS/05915/25-26</t>
  </si>
  <si>
    <t>CON25-00980</t>
  </si>
  <si>
    <t>JS/102413/25-26</t>
  </si>
  <si>
    <t>MR. KARBHARI SHANKAR SHELKE</t>
  </si>
  <si>
    <t>JS_05645_25-26_SNDH Oct_page_24.pdf</t>
  </si>
  <si>
    <t>https://drive.google.com/file/d/1y1Fl0XbOLxT4yUHhWsexwsfw78GCQ5YN/view?usp=drivesdk</t>
  </si>
  <si>
    <t>CON25-00994</t>
  </si>
  <si>
    <t>JS/96244/25-26</t>
  </si>
  <si>
    <t>MR. PURUSHOTTAM EKNATH GIRHE</t>
  </si>
  <si>
    <t>JS_05645_25-26_SNDH Oct_page_25.pdf</t>
  </si>
  <si>
    <t>https://drive.google.com/file/d/1gRjZB8J38bpFwSXbcIsrwpwkd0mrg-Bv/view?usp=drivesdk</t>
  </si>
  <si>
    <t>CON25-00997</t>
  </si>
  <si>
    <t>JS/101761/25-26</t>
  </si>
  <si>
    <t>MR. ACHYUTRAO VISHWANATHRAO JAGTA</t>
  </si>
  <si>
    <t>JS_05645_25-26_SNDH Oct_page_26.pdf</t>
  </si>
  <si>
    <t>https://drive.google.com/file/d/1U3fVggY4eQy8XFcSEQWsLee9kCiwaY6I/view?usp=drivesdk</t>
  </si>
  <si>
    <t>CON25-00998</t>
  </si>
  <si>
    <t>JS/94373/25-26</t>
  </si>
  <si>
    <t>JS/101755/25-26</t>
  </si>
  <si>
    <t>JS_05645_25-26_SNDH Oct_page_27.pdf</t>
  </si>
  <si>
    <t>https://drive.google.com/file/d/1rN9AM6pwa0OSLfJ1ZOce_ivy4pLVGBQq/view?usp=drivesdk</t>
  </si>
  <si>
    <t>CON25-01004</t>
  </si>
  <si>
    <t>JS/101328/25-26</t>
  </si>
  <si>
    <t>MR. VISHWAMBHAR ANKUSHRAO LANDE</t>
  </si>
  <si>
    <t>JS_05645_25-26_SNDH Oct_page_28.pdf</t>
  </si>
  <si>
    <t>https://drive.google.com/file/d/1tUfa24z0QRPVzSYA-gNi40rpmpnQAC4v/view?usp=drivesdk</t>
  </si>
  <si>
    <t>CON25-01009</t>
  </si>
  <si>
    <t>JS/102343/25-26</t>
  </si>
  <si>
    <t>MR. SUNIL NARAYAN INGLE</t>
  </si>
  <si>
    <t>JS_05645_25-26_SNDH Oct_page_29.pdf</t>
  </si>
  <si>
    <t>https://drive.google.com/file/d/1BpzOUYkcDcaVwEjHdhIP9t59aVhH4MM7/view?usp=drivesdk</t>
  </si>
  <si>
    <t>CON25-01010</t>
  </si>
  <si>
    <t>JS/45219/25-26</t>
  </si>
  <si>
    <t>MR. SANJAY PANDURANG WAGH</t>
  </si>
  <si>
    <t>SYNERGY XD MR OUS 2.75MM X 20MM</t>
  </si>
  <si>
    <t>JS/101758/25-26</t>
  </si>
  <si>
    <t>JS_05645_25-26_SNDH Oct_page_30.pdf</t>
  </si>
  <si>
    <t>https://drive.google.com/file/d/1UuoVzxMwoQa6GZxqWNN4a7kpR8iTyjgb/view?usp=drivesdk</t>
  </si>
  <si>
    <t>CON25-01019</t>
  </si>
  <si>
    <t>JS/101329/25-26</t>
  </si>
  <si>
    <t>MR. GANI ABDUL SHAIKH</t>
  </si>
  <si>
    <t>JS_05645_25-26_SNDH Oct_page_31.pdf</t>
  </si>
  <si>
    <t>https://drive.google.com/file/d/1i9IVd9XNB6pB2QIXPQCLQsSjCF3i12i6/view?usp=drivesdk</t>
  </si>
  <si>
    <t>CON25-01021</t>
  </si>
  <si>
    <t>JS/93254/25-26</t>
  </si>
  <si>
    <t>MR. HANUMAN KADUJI KALE</t>
  </si>
  <si>
    <t>JS/100396/25-26</t>
  </si>
  <si>
    <t>JS/102363/25-2</t>
  </si>
  <si>
    <t>JS_05645_25-26_SNDH Oct_page_32.pdf</t>
  </si>
  <si>
    <t>https://drive.google.com/file/d/1zlhq2y4B37pJyPXSmrGCjpewsB1uxOH9/view?usp=drivesdk</t>
  </si>
  <si>
    <t>CON25-01022</t>
  </si>
  <si>
    <t>JS/100182/25-26</t>
  </si>
  <si>
    <t>MR. RAJENDRA ASHOK SHINDE</t>
  </si>
  <si>
    <t>JS/100813/25-26</t>
  </si>
  <si>
    <t>JS_05645_25-26_SNDH Oct_page_33.pdf</t>
  </si>
  <si>
    <t>https://drive.google.com/file/d/1APdSqKabxHX7bnyUQalm0gh4hpc3hhWr/view?usp=drivesdk</t>
  </si>
  <si>
    <t>CON25-01024</t>
  </si>
  <si>
    <t>JS/95455/25-26</t>
  </si>
  <si>
    <t>MR. NANDKISHOR LAXMINARAYAN PARAT</t>
  </si>
  <si>
    <t>WOLVERINE CB MR OUS 4.00MM X 10MM</t>
  </si>
  <si>
    <t>JS/042452/25-26</t>
  </si>
  <si>
    <t>S MEGACTRON OUS MR 4.00MM X 24MM</t>
  </si>
  <si>
    <t>JS/101433/25-26</t>
  </si>
  <si>
    <t>JS_05645_25-26_SNDH Oct_page_34.pdf</t>
  </si>
  <si>
    <t>https://drive.google.com/file/d/1CchC095q9WGNqVQTjt1lRmnr6UBc3c2y/view?usp=drivesdk</t>
  </si>
  <si>
    <t>CON25-01026</t>
  </si>
  <si>
    <t>JS/089686/25-26</t>
  </si>
  <si>
    <t>JS/101744/25-26</t>
  </si>
  <si>
    <t>JS/046113/25-26</t>
  </si>
  <si>
    <t>SYNERGY XD MR 2.50MM X 32MM</t>
  </si>
  <si>
    <t>JS/102385/25-26</t>
  </si>
  <si>
    <t>JS_05645_25-26_SNDH Oct_page_35.pdf</t>
  </si>
  <si>
    <t>https://drive.google.com/file/d/1aX_nRZJ548cXGQ1u9auS7iMhNXsqh1lA/view?usp=drivesdk</t>
  </si>
  <si>
    <t>CON25-01028</t>
  </si>
  <si>
    <t>JS/102346/25-26</t>
  </si>
  <si>
    <t>MR. ANKUSH SHESHRAO KALE</t>
  </si>
  <si>
    <t>JS_05645_25-26_SNDH Oct_page_36.pdf</t>
  </si>
  <si>
    <t>https://drive.google.com/file/d/1EUwoASwU4vR-BBf1RFnxexyhbJ8rxVEy/view?usp=drivesdk</t>
  </si>
  <si>
    <t>CON25-01031</t>
  </si>
  <si>
    <t>JS/102402/25-26</t>
  </si>
  <si>
    <t>MR. SAGIR JAMAL SHAIKH</t>
  </si>
  <si>
    <t>JS_05645_25-26_SNDH Oct_page_37.pdf</t>
  </si>
  <si>
    <t>https://drive.google.com/file/d/1DEVOkfuvCr3i6mHmLFX53zM6nVtuHsg1/view?usp=drivesdk</t>
  </si>
  <si>
    <t>CON25-01034</t>
  </si>
  <si>
    <t>JS/96945/25-26</t>
  </si>
  <si>
    <t>MRS. INDUBAI RAMDAS SUDKE</t>
  </si>
  <si>
    <t>JS_05645_25-26_SNDH Oct_page_38.pdf</t>
  </si>
  <si>
    <t>https://drive.google.com/file/d/1pfj1kWXN2IaXkIbuZ2kn4jwwYhfaMZqT/view?usp=drivesdk</t>
  </si>
  <si>
    <t>CON25-01036</t>
  </si>
  <si>
    <t>JS/94874/25-26</t>
  </si>
  <si>
    <t>MRS. PUSHPA SHIVAJI GORE</t>
  </si>
  <si>
    <t>JS/092047/25-26</t>
  </si>
  <si>
    <t>SYNERGY XD MR OUS 3.50MM X 32MM</t>
  </si>
  <si>
    <t>JS/093246/25-26</t>
  </si>
  <si>
    <t>JS_05645_25-26_SNDH Oct_page_39.pdf</t>
  </si>
  <si>
    <t>https://drive.google.com/file/d/1ngomK9K7dBiXbXsHhq-fmBtvz-kQAzMT/view?usp=drivesdk</t>
  </si>
  <si>
    <t>CON25-01041</t>
  </si>
  <si>
    <t>JS/101757/25-26</t>
  </si>
  <si>
    <t>MR. SHAMIM ISMAIL SHAIKH</t>
  </si>
  <si>
    <t>JS_05645_25-26_SNDH Oct_page_40.pdf</t>
  </si>
  <si>
    <t>https://drive.google.com/file/d/1JK6buyhU_5qKzOw-IFBGPJTI7NlrWgMu/view?usp=drivesdk</t>
  </si>
  <si>
    <t>CON25-01043</t>
  </si>
  <si>
    <t>JS/101333/25-26</t>
  </si>
  <si>
    <t>MRS. BANO BI SHAIKH MEHEMUD BAGWANI</t>
  </si>
  <si>
    <t>JS_05645_25-26_SNDH Oct_page_41.pdf</t>
  </si>
  <si>
    <t>https://drive.google.com/file/d/1b9kAinZV5ij327ypHsc5EiZCq33pYSHa/view?usp=drivesdk</t>
  </si>
  <si>
    <t>CON25-01045</t>
  </si>
  <si>
    <t>JS/97207/25-26</t>
  </si>
  <si>
    <t>MR. ABDUL RAHEMAN ABDUL SATTAR SHAIKH</t>
  </si>
  <si>
    <t>JS/102356/25-26</t>
  </si>
  <si>
    <t>JS_05645_25-26_SNDH Oct_page_42.pdf</t>
  </si>
  <si>
    <t>https://drive.google.com/file/d/1h5tEHXlw-YJ3mzADFHYvBZSQsvfR-Y6O/view?usp=drivesdk</t>
  </si>
  <si>
    <t>CON25-01046</t>
  </si>
  <si>
    <t>JS/102341/25-26</t>
  </si>
  <si>
    <t>JS/102383/25-26</t>
  </si>
  <si>
    <t>JS_05645_25-26_SNDH Oct_page_43.pdf</t>
  </si>
  <si>
    <t>https://drive.google.com/file/d/1SIyJd2MqAuOqGn7EUUJCJptmK_zsxRFw/view?usp=drivesdk</t>
  </si>
  <si>
    <t>CON25-01054</t>
  </si>
  <si>
    <t>JS/102344/25-26</t>
  </si>
  <si>
    <t>MR. RAMSING MUNGERSING CHITODIYA</t>
  </si>
  <si>
    <t>JS_05645_25-26_SNDH Oct_page_44.pdf</t>
  </si>
  <si>
    <t>https://drive.google.com/file/d/16skmBw2crrfzNQ0vZV5u04yT3DzQ7zrz/view?usp=drivesdk</t>
  </si>
  <si>
    <t>CON25-01052</t>
  </si>
  <si>
    <t>JS/102384/25-26</t>
  </si>
  <si>
    <t>MR . ANWAR KHAN SIKANDAR KHAN</t>
  </si>
  <si>
    <t>JS_05645_25-26_SNDH Oct_page_45.pdf</t>
  </si>
  <si>
    <t>https://drive.google.com/file/d/1v3CRT1DN-dAXQs3INUvRwftIbf6iV3g1/view?usp=drivesdk</t>
  </si>
  <si>
    <t>CON25-00974</t>
  </si>
  <si>
    <t>JS/88794/24-25</t>
  </si>
  <si>
    <t>MR. ASHOK BHAGCHAND UBALE</t>
  </si>
  <si>
    <t>JS_05645_25-26_SNDH Oct_page_46.pdf</t>
  </si>
  <si>
    <t>https://drive.google.com/file/d/1nHc_EDZkxsz2fteFcxzID7M2NdgiWr0p/view?usp=drivesdk</t>
  </si>
  <si>
    <t>CON25-01012</t>
  </si>
  <si>
    <t>JS/102357/25-26</t>
  </si>
  <si>
    <t>MR. ARUN HARIBUVA GIRI</t>
  </si>
  <si>
    <t>JS_05645_25-26_SNDH Oct_page_47.pdf</t>
  </si>
  <si>
    <t>https://drive.google.com/file/d/1_B6dMKTfEIf-qn5n8TknEfZ-U7uWsGyf/view?usp=drivesdk</t>
  </si>
  <si>
    <t>CON25-01058</t>
  </si>
  <si>
    <t>JS/98588/25-26</t>
  </si>
  <si>
    <t>JS/099271/25-26</t>
  </si>
  <si>
    <t>JS_05645_25-26_SNDH Oct_page_48.pdf</t>
  </si>
  <si>
    <t>https://drive.google.com/file/d/1VwTAuYv4BWKXTX-pi_dXTuD25jTQbOzL/view?usp=drivesdk</t>
  </si>
  <si>
    <t>CON25-01059</t>
  </si>
  <si>
    <t>JS/102610/25-26</t>
  </si>
  <si>
    <t>JS_05645_25-26_SNDH Oct_page_49.pdf</t>
  </si>
  <si>
    <t>https://drive.google.com/file/d/13cYWgHyRtNzzNS7-Jya2HzipcUbd5HVc/view?usp=drivesdk</t>
  </si>
  <si>
    <t>CON25-01060</t>
  </si>
  <si>
    <t>JS/91722/25-26</t>
  </si>
  <si>
    <t>MR. SHENFAD BAJRAO NAGVE</t>
  </si>
  <si>
    <t>JS_05645_25-26_SNDH Oct_page_50.pdf</t>
  </si>
  <si>
    <t>https://drive.google.com/file/d/1Pcgo2KVra8XWJKF53eaedSnDf6wvvZm4/view?usp=drivesdk</t>
  </si>
  <si>
    <t>CON25-01062</t>
  </si>
  <si>
    <t>JS/101745/25-26</t>
  </si>
  <si>
    <t>MR. VILAS SITARAM HIWALE</t>
  </si>
  <si>
    <t>JS/102347/25-26</t>
  </si>
  <si>
    <t>JS_05645_25-26_SNDH Oct_page_51.pdf</t>
  </si>
  <si>
    <t>https://drive.google.com/file/d/1jy7XGsw-vmfO19HIlnImDQkJlGkqaCxF/view?usp=drivesdk</t>
  </si>
  <si>
    <t>CON25-01066</t>
  </si>
  <si>
    <t>JS/101601/25-26</t>
  </si>
  <si>
    <t>MRS. SUNANDA RAMCHANDRA CHAVAN</t>
  </si>
  <si>
    <t>JS_05645_25-26_SNDH Oct_page_52.pdf</t>
  </si>
  <si>
    <t>https://drive.google.com/file/d/1qlKIo6APVu5AtvOexpCHQ-RKmEa-2Otf/view?usp=drivesdk</t>
  </si>
  <si>
    <t>CON25-01069</t>
  </si>
  <si>
    <t>JS/92012/25-26</t>
  </si>
  <si>
    <t>SYNERGY XD MR OUS 3.50MM X 16MM</t>
  </si>
  <si>
    <t>JS/93375/25-26</t>
  </si>
  <si>
    <t>JS_05645_25-26_SNDH Oct_page_53.pdf</t>
  </si>
  <si>
    <t>https://drive.google.com/file/d/1QTOARDh_ylMU-YyvVv_8zCEVe6NsRnye/view?usp=drivesdk</t>
  </si>
  <si>
    <t>CON25-01071</t>
  </si>
  <si>
    <t>JS/102342/25-26</t>
  </si>
  <si>
    <t>MRS. SUSHMA SANTOSH PAWAR</t>
  </si>
  <si>
    <t>JS_05645_25-26_SNDH Oct_page_54.pdf</t>
  </si>
  <si>
    <t>https://drive.google.com/file/d/1e5y3X-VY-NvZzqDCL8RDo9o8bktwTrZZ/view?usp=drivesdk</t>
  </si>
  <si>
    <t>CON25-01073</t>
  </si>
  <si>
    <t>JS/097354/25-26</t>
  </si>
  <si>
    <t>JS_05645_25-26_SNDH Oct_page_55.pdf</t>
  </si>
  <si>
    <t>https://drive.google.com/file/d/1u7tM0ZbwZrBV3hfe_3zSw2a9ZHIh2MWW/view?usp=drivesdk</t>
  </si>
  <si>
    <t>CON25-01075</t>
  </si>
  <si>
    <t>JS/102348/25-26</t>
  </si>
  <si>
    <t>MR. NARAYAN BABURAO SHINGNE</t>
  </si>
  <si>
    <t>JS_05645_25-26_SNDH Oct_page_56.pdf</t>
  </si>
  <si>
    <t>https://drive.google.com/file/d/1pi2RgZvotyFf-VZNQn8OPohFrVuFIjOu/view?usp=drivesdk</t>
  </si>
  <si>
    <t>CON25-01080</t>
  </si>
  <si>
    <t>JS/102391/25-26</t>
  </si>
  <si>
    <t>MR. PARMESHWAR BHAGWANDAS MOGAL</t>
  </si>
  <si>
    <t>JS_05645_25-26_SNDH Oct_page_57.pdf</t>
  </si>
  <si>
    <t>https://drive.google.com/file/d/1h7GjvjagQl216giwSxm276X2ja_r3DIm/view?usp=drivesdk</t>
  </si>
  <si>
    <t>CON25-01085</t>
  </si>
  <si>
    <t>JS/098841/25-26</t>
  </si>
  <si>
    <t>MR. PRAVIN PREMCHAND KHANDELWAL</t>
  </si>
  <si>
    <t>JS_05645_25-26_SNDH Oct_page_58.pdf</t>
  </si>
  <si>
    <t>https://drive.google.com/file/d/11ASGLnziMvWETt3n-CsgH6bpKUbMQ-ZT/view?usp=drivesdk</t>
  </si>
  <si>
    <t>CON25-01087</t>
  </si>
  <si>
    <t>JS/088821/25-26</t>
  </si>
  <si>
    <t>S MEGATRON OUS MR 4.00MM X 28MM</t>
  </si>
  <si>
    <t>JS/102345/25-26</t>
  </si>
  <si>
    <t>NE EMERGE OUS MR 4.00MM X 15MM</t>
  </si>
  <si>
    <t>JS/102611/25-26</t>
  </si>
  <si>
    <t>JS_05645_25-26_SNDH Oct_page_59.pdf</t>
  </si>
  <si>
    <t>https://drive.google.com/file/d/1kJnp1HjRZTdGncYSS_1em0vEKVBu0d1h/view?usp=drivesdk</t>
  </si>
  <si>
    <t>CON25-01089</t>
  </si>
  <si>
    <t>JS/040951/25-26</t>
  </si>
  <si>
    <t>JS_05645_25-26_SNDH Oct_page_60.pdf</t>
  </si>
  <si>
    <t>https://drive.google.com/file/d/1KTK1gbi2FqOwIu4yU2W-N4RcB4EVG8fY/view?usp=drivesdk</t>
  </si>
  <si>
    <t>CON25-01090</t>
  </si>
  <si>
    <t>JS/96837/25-26</t>
  </si>
  <si>
    <t>MR. JAGDISH BHANUDAS AWCHAR</t>
  </si>
  <si>
    <t>JS_05645_25-26_SNDH Oct_page_61.pdf</t>
  </si>
  <si>
    <t>https://drive.google.com/file/d/1Wsq18cHUiQiz9-LHFVTrOQHoMFik8sTt/view?usp=drivesdk</t>
  </si>
  <si>
    <t>CON25-01093</t>
  </si>
  <si>
    <t>JS/098844/25-26</t>
  </si>
  <si>
    <t>MR . KRUSHNA BHOJARAJ ANDAGE</t>
  </si>
  <si>
    <t>JS/102387/25-26</t>
  </si>
  <si>
    <t>JS_05645_25-26_SNDH Oct 62-70_page_1.pdf</t>
  </si>
  <si>
    <t>https://drive.google.com/file/d/1-Pg65xRUnIaDO8PDMWOi2FMrfe6VHPj9/view?usp=drivesdk</t>
  </si>
  <si>
    <t>CON25-01097</t>
  </si>
  <si>
    <t>JS/45385/25-26</t>
  </si>
  <si>
    <t>MR. NILESH NANDALAL AGRAWAL</t>
  </si>
  <si>
    <t>JS/102349/25-26</t>
  </si>
  <si>
    <t>JS_05645_25-26_SNDH Oct 62-70_page_2.pdf</t>
  </si>
  <si>
    <t>https://drive.google.com/file/d/1yn7WtGAiOGG0_cUFPggF-Ch84jlpJN2m/view?usp=drivesdk</t>
  </si>
  <si>
    <t>CON25-01098</t>
  </si>
  <si>
    <t>JS/45416/24-25</t>
  </si>
  <si>
    <t>JS/94808/24-25</t>
  </si>
  <si>
    <t>SYNERGY XD MR OUS 2.75MM X 16MM</t>
  </si>
  <si>
    <t>JS/42995/25-26</t>
  </si>
  <si>
    <t>JS/101940/25-26</t>
  </si>
  <si>
    <t>SYNERGY XO MR OUS 2.75MM X 32MM</t>
  </si>
  <si>
    <t>JS/102388/25-26</t>
  </si>
  <si>
    <t>JS_05645_25-26_SNDH Oct 62-70_page_3.pdf</t>
  </si>
  <si>
    <t>https://drive.google.com/file/d/1bdqYA5HDVlxqy2o2EuLmQO0KR_XsiPzq/view?usp=drivesdk</t>
  </si>
  <si>
    <t>CON25-01077</t>
  </si>
  <si>
    <t>JS/102389/25-26</t>
  </si>
  <si>
    <t>MR. SHABBIR RASHEED SHAIKH</t>
  </si>
  <si>
    <t>JS_05645_25-26_SNDH Oct 62-70_page_4.pdf</t>
  </si>
  <si>
    <t>https://drive.google.com/file/d/16x5X2YF1W1jjw5vz9a42hWSySjoWuXZq/view?usp=drivesdk</t>
  </si>
  <si>
    <t>CON25-01107</t>
  </si>
  <si>
    <t>JS/101602/25-26</t>
  </si>
  <si>
    <t>MR. IMRAN KHAN</t>
  </si>
  <si>
    <t>JS_05645_25-26_SNDH Oct 62-70_page_5.pdf</t>
  </si>
  <si>
    <t>https://drive.google.com/file/d/1NNijuKjTsof2PAbefmrqA2ea8U4iOXfE/view?usp=drivesdk</t>
  </si>
  <si>
    <t>CON25-01115</t>
  </si>
  <si>
    <t>JS/098614/25-26</t>
  </si>
  <si>
    <t>JS_05645_25-26_SNDH Oct 62-70_page_6.pdf</t>
  </si>
  <si>
    <t>https://drive.google.com/file/d/1lqs0xpLnu3cVl9QrHG64VAWrux3MhYpl/view?usp=drivesdk</t>
  </si>
  <si>
    <t>CON25-01114</t>
  </si>
  <si>
    <t>JS/102390/25-26</t>
  </si>
  <si>
    <t>MR. BHAGWAN NARAYAN PATIL</t>
  </si>
  <si>
    <t>JS_05645_25-26_SNDH Oct 62-70_page_7.pdf</t>
  </si>
  <si>
    <t>https://drive.google.com/file/d/1pSnQbE2tuXWjh_O1b4R_qnn6etMiy4Ku/view?usp=drivesdk</t>
  </si>
  <si>
    <t>CON25-01111</t>
  </si>
  <si>
    <t>JS/102613/25-26</t>
  </si>
  <si>
    <t>MR. NANSAHEB GAMBHIRRAO DESHMUKH</t>
  </si>
  <si>
    <t>JS_05645_25-26_SNDH Oct 62-70_page_8.pdf</t>
  </si>
  <si>
    <t>https://drive.google.com/file/d/1DDp9ANViVG4X7yTVaAs1LTpcFy7GUtM-/view?usp=drivesdk</t>
  </si>
  <si>
    <t>CON25-01109</t>
  </si>
  <si>
    <t>JS/101750/25-26</t>
  </si>
  <si>
    <t>MR . ABDUL BASET BAGWAN</t>
  </si>
  <si>
    <t>JS_05645_25-26_SNDH Oct 62-70_page_9.pdf</t>
  </si>
  <si>
    <t>https://drive.google.com/file/d/19BoQr6axAKYCx4hqYUqaS-LvcmSIjjAl/view?usp=drivesdk</t>
  </si>
  <si>
    <t>CON25-01118</t>
  </si>
  <si>
    <t>JS/101759/25-26</t>
  </si>
  <si>
    <t>MR. BHARAT BHUJANRAO TAVAR</t>
  </si>
  <si>
    <t>JS/99058/25-26</t>
  </si>
  <si>
    <t>Received</t>
  </si>
  <si>
    <t>Reported In Secondary</t>
  </si>
  <si>
    <t>Not Reported In Secondary</t>
  </si>
  <si>
    <t>8978_page_1.pdf</t>
  </si>
  <si>
    <t>https://drive.google.com/file/d/1Cq6v0Mu5pm4vMmYFoJpyyJsuqCwAmSDw/view?usp=drivesdk</t>
  </si>
  <si>
    <t>CON25-01542</t>
  </si>
  <si>
    <t>JS/99251/25-26</t>
  </si>
  <si>
    <t>MR. RAMDAS MAHADU MAGAR</t>
  </si>
  <si>
    <t>Invoice date Mismatch</t>
  </si>
  <si>
    <t>Final Status</t>
  </si>
  <si>
    <t>Row Labels</t>
  </si>
  <si>
    <t>Grand Total</t>
  </si>
  <si>
    <t>Distinct Count of Dealer invoice No.</t>
  </si>
  <si>
    <t>As per the Secondary Remakrs</t>
  </si>
  <si>
    <t>Zero value in invoice</t>
  </si>
  <si>
    <t>001023 DHOOT HOSPITAL_page_1.pdf</t>
  </si>
  <si>
    <t>001387 DHOOT HOSPITAL_page_1.pdf</t>
  </si>
  <si>
    <t>001078 DHOOT HOSPITAL_page_1.pdf</t>
  </si>
  <si>
    <t>001325 DHOOT HOSPITAL_page_1.pdf</t>
  </si>
  <si>
    <t>https://drive.google.com/file/d/1hrKOzoSFdAMp_00xSpcpq7kzZjbjD3I9/view?usp=drivesdk</t>
  </si>
  <si>
    <t>https://drive.google.com/file/d/1vI3TWA3aVlkfptHiMgweEW5vCv_-attt/view?usp=drivesdk</t>
  </si>
  <si>
    <t>https://drive.google.com/file/d/1y2pADzlLRelwsjkXz2eykdSZctXY4prL/view?usp=drivesdk</t>
  </si>
  <si>
    <t>https://drive.google.com/file/d/1JPregiRa_q74iEdoNVDd8rVKGFs-n8nq/view?usp=drivesdk</t>
  </si>
  <si>
    <t>S/P/001023/24-25</t>
  </si>
  <si>
    <t>S/P/001387/25-26</t>
  </si>
  <si>
    <t>S/P/001078/24-25</t>
  </si>
  <si>
    <t>S/P/001325/25-26</t>
  </si>
  <si>
    <t>CON25-01342</t>
  </si>
  <si>
    <t>M/s DHOOT HOSPITAL AURANGABAD</t>
  </si>
  <si>
    <t>M/S SETH NANDLAL DHOOT HOSPITAL LIMITED</t>
  </si>
  <si>
    <t>BS SOLOIST SINGLE NEEDLE</t>
  </si>
  <si>
    <t>BS 2D HELICAL-35 6MM X 2.6MM</t>
  </si>
  <si>
    <t>BS 2D HELICAL-35 7MM X 2.3MM</t>
  </si>
  <si>
    <t>BS CONTOUR PVA 500-710 MIC</t>
  </si>
  <si>
    <t>BS CONTOUR PVA 355-500 MIC</t>
  </si>
  <si>
    <t>BS VORTEX DIAMOND 3MM/3.3MM</t>
  </si>
  <si>
    <t>No</t>
  </si>
  <si>
    <t xml:space="preserve">Hs Missing </t>
  </si>
  <si>
    <t>Held</t>
  </si>
  <si>
    <t>Audit</t>
  </si>
  <si>
    <t>Reported In Secondary/ Audit</t>
  </si>
  <si>
    <t>Total Invoice</t>
  </si>
  <si>
    <t>Not Received</t>
  </si>
  <si>
    <t>Pending 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</si>
</sst>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10409]#,##0.00;\(#,##0.00\)"/>
    <numFmt numFmtId="165" formatCode="[$-10409]#,##0;\(#,##0\)"/>
    <numFmt numFmtId="166" formatCode="_ * #,##0_ ;_ * \-#,##0_ ;_ * &quot;-&quot;??_ ;_ @_ "/>
  </numFmts>
  <fonts count="8" x14ac:knownFonts="1">
    <font>
      <sz val="11"/>
      <color theme="1"/>
      <name val="Calibri"/>
      <family val="2"/>
      <scheme val="minor"/>
    </font>
    <font>
      <b/>
      <sz val="8"/>
      <color rgb="FF000000"/>
      <name val="Arial"/>
      <family val="2"/>
    </font>
    <font>
      <sz val="8"/>
      <color rgb="FF000000"/>
      <name val="Arial"/>
      <family val="2"/>
    </font>
    <font>
      <sz val="11"/>
      <color theme="1"/>
      <name val="Calibri"/>
      <family val="2"/>
      <scheme val="minor"/>
    </font>
    <font>
      <u/>
      <sz val="11"/>
      <color theme="10"/>
      <name val="Calibri"/>
      <family val="2"/>
      <scheme val="minor"/>
    </font>
    <font>
      <sz val="8"/>
      <color theme="1"/>
      <name val="Calibri"/>
      <family val="2"/>
      <scheme val="minor"/>
    </font>
    <font>
      <u/>
      <sz val="8"/>
      <color theme="10"/>
      <name val="Calibri"/>
      <family val="2"/>
      <scheme val="minor"/>
    </font>
    <font>
      <sz val="8"/>
      <color rgb="FF000000"/>
      <name val="Calibri"/>
      <family val="2"/>
      <scheme val="minor"/>
    </font>
  </fonts>
  <fills count="5">
    <fill>
      <patternFill patternType="none"/>
    </fill>
    <fill>
      <patternFill patternType="gray125"/>
    </fill>
    <fill>
      <patternFill patternType="solid">
        <fgColor rgb="FFDCDCDC"/>
        <bgColor rgb="FFDCDCDC"/>
      </patternFill>
    </fill>
    <fill>
      <patternFill patternType="solid">
        <fgColor rgb="FFFFE598"/>
        <bgColor rgb="FFFFE598"/>
      </patternFill>
    </fill>
    <fill>
      <patternFill patternType="solid">
        <fgColor theme="7" tint="0.39997558519241921"/>
        <bgColor indexed="64"/>
      </patternFill>
    </fill>
  </fills>
  <borders count="9">
    <border>
      <left/>
      <right/>
      <top/>
      <bottom/>
      <diagonal/>
    </border>
    <border>
      <left style="thin">
        <color rgb="FF000000"/>
      </left>
      <right style="thin">
        <color rgb="FFD3D3D3"/>
      </right>
      <top style="thin">
        <color rgb="FF000000"/>
      </top>
      <bottom style="thin">
        <color rgb="FFD3D3D3"/>
      </bottom>
      <diagonal/>
    </border>
    <border>
      <left style="thin">
        <color rgb="FFD3D3D3"/>
      </left>
      <right style="thin">
        <color rgb="FFD3D3D3"/>
      </right>
      <top style="thin">
        <color rgb="FF000000"/>
      </top>
      <bottom style="thin">
        <color rgb="FFD3D3D3"/>
      </bottom>
      <diagonal/>
    </border>
    <border>
      <left style="thin">
        <color rgb="FFD3D3D3"/>
      </left>
      <right style="thin">
        <color rgb="FF000000"/>
      </right>
      <top style="thin">
        <color rgb="FF000000"/>
      </top>
      <bottom style="thin">
        <color rgb="FFD3D3D3"/>
      </bottom>
      <diagonal/>
    </border>
    <border>
      <left style="thin">
        <color rgb="FF000000"/>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style="thin">
        <color rgb="FFD3D3D3"/>
      </left>
      <right style="thin">
        <color rgb="FF000000"/>
      </right>
      <top style="thin">
        <color rgb="FFD3D3D3"/>
      </top>
      <bottom style="thin">
        <color rgb="FFD3D3D3"/>
      </bottom>
      <diagonal/>
    </border>
    <border>
      <left style="thin">
        <color rgb="FFD3D3D3"/>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3" fillId="0" borderId="0" applyFont="0" applyFill="0" applyBorder="0" applyAlignment="0" applyProtection="0"/>
    <xf numFmtId="0" fontId="4" fillId="0" borderId="0" applyNumberFormat="0" applyFill="0" applyBorder="0" applyAlignment="0" applyProtection="0"/>
    <xf numFmtId="9" fontId="3" fillId="0" borderId="0" applyFont="0" applyFill="0" applyBorder="0" applyAlignment="0" applyProtection="0"/>
  </cellStyleXfs>
  <cellXfs count="29">
    <xf numFmtId="0" fontId="0" fillId="0" borderId="0" xfId="0"/>
    <xf numFmtId="0" fontId="1" fillId="2" borderId="1" xfId="0" applyFont="1" applyFill="1" applyBorder="1" applyAlignment="1">
      <alignment horizontal="left" vertical="center" readingOrder="1"/>
    </xf>
    <xf numFmtId="0" fontId="1" fillId="2" borderId="2" xfId="0" applyFont="1" applyFill="1" applyBorder="1" applyAlignment="1">
      <alignment horizontal="left" vertical="center" readingOrder="1"/>
    </xf>
    <xf numFmtId="0" fontId="1" fillId="2" borderId="3" xfId="0" applyFont="1" applyFill="1" applyBorder="1" applyAlignment="1">
      <alignment horizontal="left" vertical="center" readingOrder="1"/>
    </xf>
    <xf numFmtId="0" fontId="2" fillId="0" borderId="4" xfId="0" applyFont="1" applyBorder="1" applyAlignment="1">
      <alignment horizontal="left" vertical="center" readingOrder="1"/>
    </xf>
    <xf numFmtId="0" fontId="2" fillId="0" borderId="5" xfId="0" applyFont="1" applyBorder="1" applyAlignment="1">
      <alignment horizontal="left" vertical="center" readingOrder="1"/>
    </xf>
    <xf numFmtId="164" fontId="2" fillId="0" borderId="5" xfId="0" applyNumberFormat="1" applyFont="1" applyBorder="1" applyAlignment="1">
      <alignment horizontal="left" vertical="center" readingOrder="1"/>
    </xf>
    <xf numFmtId="165" fontId="2" fillId="0" borderId="5" xfId="0" applyNumberFormat="1" applyFont="1" applyBorder="1" applyAlignment="1">
      <alignment horizontal="left" vertical="center" readingOrder="1"/>
    </xf>
    <xf numFmtId="0" fontId="2" fillId="0" borderId="6" xfId="0" applyFont="1" applyBorder="1" applyAlignment="1">
      <alignment horizontal="left" vertical="center" readingOrder="1"/>
    </xf>
    <xf numFmtId="0" fontId="1" fillId="2" borderId="7" xfId="0" applyFont="1" applyFill="1" applyBorder="1" applyAlignment="1">
      <alignment horizontal="left" vertical="center" readingOrder="1"/>
    </xf>
    <xf numFmtId="14" fontId="2" fillId="0" borderId="5" xfId="0" applyNumberFormat="1" applyFont="1" applyBorder="1" applyAlignment="1">
      <alignment horizontal="left" vertical="center" readingOrder="1"/>
    </xf>
    <xf numFmtId="0" fontId="5" fillId="3" borderId="8" xfId="0" applyFont="1" applyFill="1" applyBorder="1" applyAlignment="1">
      <alignment horizontal="center"/>
    </xf>
    <xf numFmtId="166" fontId="5" fillId="3" borderId="8" xfId="1" applyNumberFormat="1" applyFont="1" applyFill="1" applyBorder="1" applyAlignment="1">
      <alignment horizontal="center"/>
    </xf>
    <xf numFmtId="14" fontId="5" fillId="0" borderId="8" xfId="0" applyNumberFormat="1" applyFont="1" applyBorder="1"/>
    <xf numFmtId="21" fontId="0" fillId="0" borderId="0" xfId="0" applyNumberFormat="1"/>
    <xf numFmtId="0" fontId="5" fillId="0" borderId="8" xfId="0" applyFont="1" applyBorder="1"/>
    <xf numFmtId="0" fontId="6" fillId="0" borderId="8" xfId="2" applyFont="1" applyBorder="1" applyAlignment="1"/>
    <xf numFmtId="166" fontId="5" fillId="0" borderId="8" xfId="1" applyNumberFormat="1" applyFont="1" applyBorder="1"/>
    <xf numFmtId="0" fontId="5" fillId="0" borderId="8" xfId="0" applyFont="1" applyBorder="1" applyAlignment="1">
      <alignment vertical="center"/>
    </xf>
    <xf numFmtId="0" fontId="7" fillId="0" borderId="8" xfId="0" applyFont="1" applyBorder="1" applyAlignment="1">
      <alignment horizontal="left"/>
    </xf>
    <xf numFmtId="0" fontId="1" fillId="2" borderId="0" xfId="0" applyFont="1" applyFill="1" applyAlignment="1">
      <alignment horizontal="left" vertical="center" readingOrder="1"/>
    </xf>
    <xf numFmtId="0" fontId="2" fillId="0" borderId="0" xfId="0" applyFont="1" applyAlignment="1">
      <alignment horizontal="left" vertical="center" readingOrder="1"/>
    </xf>
    <xf numFmtId="0" fontId="0" fillId="0" borderId="8" xfId="0" pivotButton="1" applyBorder="1"/>
    <xf numFmtId="0" fontId="0" fillId="0" borderId="8" xfId="0" applyBorder="1"/>
    <xf numFmtId="0" fontId="0" fillId="0" borderId="8" xfId="0" applyBorder="1" applyAlignment="1">
      <alignment horizontal="left"/>
    </xf>
    <xf numFmtId="0" fontId="0" fillId="4" borderId="0" xfId="0" applyFill="1"/>
    <xf numFmtId="0" fontId="0" fillId="0" borderId="0" xfId="0" applyFill="1"/>
    <xf numFmtId="0" fontId="0" fillId="0" borderId="8" xfId="0" applyNumberFormat="1" applyBorder="1"/>
    <xf numFmtId="9" fontId="0" fillId="0" borderId="0" xfId="3" applyFont="1" applyFill="1"/>
  </cellXfs>
  <cellStyles count="4">
    <cellStyle name="Comma" xfId="1" builtinId="3"/>
    <cellStyle name="Hyperlink" xfId="2" builtinId="8"/>
    <cellStyle name="Normal" xfId="0" builtinId="0"/>
    <cellStyle name="Percent" xfId="3" builtinId="5"/>
  </cellStyles>
  <dxfs count="1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powerPivotData" Target="model/item.data"/><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3</xdr:col>
      <xdr:colOff>298450</xdr:colOff>
      <xdr:row>3</xdr:row>
      <xdr:rowOff>63500</xdr:rowOff>
    </xdr:from>
    <xdr:to>
      <xdr:col>6</xdr:col>
      <xdr:colOff>69850</xdr:colOff>
      <xdr:row>17</xdr:row>
      <xdr:rowOff>9525</xdr:rowOff>
    </xdr:to>
    <mc:AlternateContent xmlns:mc="http://schemas.openxmlformats.org/markup-compatibility/2006" xmlns:a14="http://schemas.microsoft.com/office/drawing/2010/main">
      <mc:Choice Requires="a14">
        <xdr:graphicFrame macro="">
          <xdr:nvGraphicFramePr>
            <xdr:cNvPr id="2" name="Final Status">
              <a:extLst>
                <a:ext uri="{FF2B5EF4-FFF2-40B4-BE49-F238E27FC236}">
                  <a16:creationId xmlns:a16="http://schemas.microsoft.com/office/drawing/2014/main" id="{016CCB47-FBC3-93B1-D6E0-A5268103745A}"/>
                </a:ext>
              </a:extLst>
            </xdr:cNvPr>
            <xdr:cNvGraphicFramePr/>
          </xdr:nvGraphicFramePr>
          <xdr:xfrm>
            <a:off x="0" y="0"/>
            <a:ext cx="0" cy="0"/>
          </xdr:xfrm>
          <a:graphic>
            <a:graphicData uri="http://schemas.microsoft.com/office/drawing/2010/slicer">
              <sle:slicer xmlns:sle="http://schemas.microsoft.com/office/drawing/2010/slicer" name="Final Status"/>
            </a:graphicData>
          </a:graphic>
        </xdr:graphicFrame>
      </mc:Choice>
      <mc:Fallback xmlns="">
        <xdr:sp macro="" textlink="">
          <xdr:nvSpPr>
            <xdr:cNvPr id="0" name=""/>
            <xdr:cNvSpPr>
              <a:spLocks noTextEdit="1"/>
            </xdr:cNvSpPr>
          </xdr:nvSpPr>
          <xdr:spPr>
            <a:xfrm>
              <a:off x="5111750" y="247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KLP235" refreshedDate="46099.694730787036" backgroundQuery="1" createdVersion="8" refreshedVersion="8" minRefreshableVersion="3" recordCount="0" supportSubquery="1" supportAdvancedDrill="1" xr:uid="{99CE4424-10D1-41D3-A88C-02ADCE1200C7}">
  <cacheSource type="external" connectionId="1"/>
  <cacheFields count="3">
    <cacheField name="[Range].[Dealer Name].[Dealer Name]" caption="Dealer Name" numFmtId="0" hierarchy="9" level="1">
      <sharedItems count="1">
        <s v="J. S. MEDITECH ENTERPRISES"/>
      </sharedItems>
    </cacheField>
    <cacheField name="[Measures].[Distinct Count of Dealer invoice No.]" caption="Distinct Count of Dealer invoice No." numFmtId="0" hierarchy="54" level="32767"/>
    <cacheField name="[Range].[Final Status].[Final Status]" caption="Final Status" numFmtId="0" hierarchy="50" level="1">
      <sharedItems containsSemiMixedTypes="0" containsNonDate="0" containsString="0"/>
    </cacheField>
  </cacheFields>
  <cacheHierarchies count="55">
    <cacheHierarchy uniqueName="[Range].[Booking Month]" caption="Booking Month" attribute="1" defaultMemberUniqueName="[Range].[Booking Month].[All]" allUniqueName="[Range].[Booking Month].[All]" dimensionUniqueName="[Range]" displayFolder="" count="0" memberValueDatatype="130" unbalanced="0"/>
    <cacheHierarchy uniqueName="[Range].[Actual Sale Month]" caption="Actual Sale Month" attribute="1" defaultMemberUniqueName="[Range].[Actual Sale Month].[All]" allUniqueName="[Range].[Actual Sale Month].[All]" dimensionUniqueName="[Range]" displayFolder="" count="0" memberValueDatatype="130" unbalanced="0"/>
    <cacheHierarchy uniqueName="[Range].[Order Date]" caption="Order Date" attribute="1" defaultMemberUniqueName="[Range].[Order Date].[All]" allUniqueName="[Range].[Order Date].[All]" dimensionUniqueName="[Range]" displayFolder="" count="0" memberValueDatatype="130" unbalanced="0"/>
    <cacheHierarchy uniqueName="[Range].[Cancellation Month]" caption="Cancellation Month" attribute="1" defaultMemberUniqueName="[Range].[Cancellation Month].[All]" allUniqueName="[Range].[Cancellation Month].[All]" dimensionUniqueName="[Range]" displayFolder="" count="0" memberValueDatatype="130" unbalanced="0"/>
    <cacheHierarchy uniqueName="[Range].[Year]" caption="Year" attribute="1" defaultMemberUniqueName="[Range].[Year].[All]" allUniqueName="[Range].[Year].[All]" dimensionUniqueName="[Range]" displayFolder="" count="0" memberValueDatatype="130" unbalanced="0"/>
    <cacheHierarchy uniqueName="[Range].[Last ModiFied Date]" caption="Last ModiFied Date" attribute="1" defaultMemberUniqueName="[Range].[Last ModiFied Date].[All]" allUniqueName="[Range].[Last ModiFied Date].[All]" dimensionUniqueName="[Range]" displayFolder="" count="0" memberValueDatatype="130" unbalanced="0"/>
    <cacheHierarchy uniqueName="[Range].[Business Unit Name]" caption="Business Unit Name" attribute="1" defaultMemberUniqueName="[Range].[Business Unit Name].[All]" allUniqueName="[Range].[Business Unit 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O#]" caption="SO#" attribute="1" defaultMemberUniqueName="[Range].[SO#].[All]" allUniqueName="[Range].[SO#].[All]" dimensionUniqueName="[Range]" displayFolder="" count="0" memberValueDatatype="130" unbalanced="0"/>
    <cacheHierarchy uniqueName="[Range].[Dealer Name]" caption="Dealer Name" attribute="1" defaultMemberUniqueName="[Range].[Dealer Name].[All]" allUniqueName="[Range].[Dealer Name].[All]" dimensionUniqueName="[Range]" displayFolder="" count="2" memberValueDatatype="130" unbalanced="0">
      <fieldsUsage count="2">
        <fieldUsage x="-1"/>
        <fieldUsage x="0"/>
      </fieldsUsage>
    </cacheHierarchy>
    <cacheHierarchy uniqueName="[Range].[Dealer Code]" caption="Dealer Code" attribute="1" defaultMemberUniqueName="[Range].[Dealer Code].[All]" allUniqueName="[Range].[Dealer Code].[All]" dimensionUniqueName="[Range]" displayFolder="" count="0" memberValueDatatype="130" unbalanced="0"/>
    <cacheHierarchy uniqueName="[Range].[Hospital Name]" caption="Hospital Name" attribute="1" defaultMemberUniqueName="[Range].[Hospital Name].[All]" allUniqueName="[Range].[Hospital Name].[All]" dimensionUniqueName="[Range]" displayFolder="" count="0" memberValueDatatype="130" unbalanced="0"/>
    <cacheHierarchy uniqueName="[Range].[Sold Through]" caption="Sold Through" attribute="1" defaultMemberUniqueName="[Range].[Sold Through].[All]" allUniqueName="[Range].[Sold Through].[All]" dimensionUniqueName="[Range]" displayFolder="" count="0" memberValueDatatype="130" unbalanced="0"/>
    <cacheHierarchy uniqueName="[Range].[Parent Hospital Code]" caption="Parent Hospital Code" attribute="1" defaultMemberUniqueName="[Range].[Parent Hospital Code].[All]" allUniqueName="[Range].[Parent Hospital Code].[All]" dimensionUniqueName="[Range]" displayFolder="" count="0" memberValueDatatype="130" unbalanced="0"/>
    <cacheHierarchy uniqueName="[Range].[Hospital I Grow Code]" caption="Hospital I Grow Code" attribute="1" defaultMemberUniqueName="[Range].[Hospital I Grow Code].[All]" allUniqueName="[Range].[Hospital I Grow Code].[All]" dimensionUniqueName="[Range]" displayFolder="" count="0" memberValueDatatype="130" unbalanced="0"/>
    <cacheHierarchy uniqueName="[Range].[Hospital Segment]" caption="Hospital Segment" attribute="1" defaultMemberUniqueName="[Range].[Hospital Segment].[All]" allUniqueName="[Range].[Hospital Segment].[All]" dimensionUniqueName="[Range]" displayFolder="" count="0" memberValueDatatype="130" unbalanced="0"/>
    <cacheHierarchy uniqueName="[Range].[Hospital Group]" caption="Hospital Group" attribute="1" defaultMemberUniqueName="[Range].[Hospital Group].[All]" allUniqueName="[Range].[Hospital Group].[All]" dimensionUniqueName="[Range]" displayFolder="" count="0" memberValueDatatype="130" unbalanced="0"/>
    <cacheHierarchy uniqueName="[Range].[City Name]" caption="City Name" attribute="1" defaultMemberUniqueName="[Range].[City Name].[All]" allUniqueName="[Range].[City Name].[All]" dimensionUniqueName="[Range]" displayFolder="" count="0" memberValueDatatype="130" unbalanced="0"/>
    <cacheHierarchy uniqueName="[Range].[Hospital City Tier]" caption="Hospital City Tier" attribute="1" defaultMemberUniqueName="[Range].[Hospital City Tier].[All]" allUniqueName="[Range].[Hospital City Tier].[All]" dimensionUniqueName="[Range]" displayFolder="" count="0" memberValueDatatype="130" unbalanced="0"/>
    <cacheHierarchy uniqueName="[Range].[State Name]" caption="State Name" attribute="1" defaultMemberUniqueName="[Range].[State Name].[All]" allUniqueName="[Range].[State Name].[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UPN]" caption="UPN" attribute="1" defaultMemberUniqueName="[Range].[UPN].[All]" allUniqueName="[Range].[UPN].[All]" dimensionUniqueName="[Range]" displayFolder="" count="0" memberValueDatatype="130" unbalanced="0"/>
    <cacheHierarchy uniqueName="[Range].[Batch Number]" caption="Batch Number" attribute="1" defaultMemberUniqueName="[Range].[Batch Number].[All]" allUniqueName="[Range].[Batch Number].[All]" dimensionUniqueName="[Range]" displayFolder="" count="0" memberValueDatatype="130" unbalanced="0"/>
    <cacheHierarchy uniqueName="[Range].[Expiry Date]" caption="Expiry Date" attribute="1" defaultMemberUniqueName="[Range].[Expiry Date].[All]" allUniqueName="[Range].[Expiry Date].[All]" dimensionUniqueName="[Range]" displayFolder="" count="0" memberValueDatatype="130" unbalanced="0"/>
    <cacheHierarchy uniqueName="[Range].[Item Description]" caption="Item Description" attribute="1" defaultMemberUniqueName="[Range].[Item Description].[All]" allUniqueName="[Range].[Item Description].[All]" dimensionUniqueName="[Range]" displayFolder="" count="0" memberValueDatatype="130" unbalanced="0"/>
    <cacheHierarchy uniqueName="[Range].[Level 1 Desc]" caption="Level 1 Desc" attribute="1" defaultMemberUniqueName="[Range].[Level 1 Desc].[All]" allUniqueName="[Range].[Level 1 Desc].[All]" dimensionUniqueName="[Range]" displayFolder="" count="0" memberValueDatatype="130" unbalanced="0"/>
    <cacheHierarchy uniqueName="[Range].[Level 2 Desc]" caption="Level 2 Desc" attribute="1" defaultMemberUniqueName="[Range].[Level 2 Desc].[All]" allUniqueName="[Range].[Level 2 Desc].[All]" dimensionUniqueName="[Range]" displayFolder="" count="0" memberValueDatatype="130" unbalanced="0"/>
    <cacheHierarchy uniqueName="[Range].[Level 3 Desc]" caption="Level 3 Desc" attribute="1" defaultMemberUniqueName="[Range].[Level 3 Desc].[All]" allUniqueName="[Range].[Level 3 Desc].[All]" dimensionUniqueName="[Range]" displayFolder="" count="0" memberValueDatatype="130" unbalanced="0"/>
    <cacheHierarchy uniqueName="[Range].[Product Family]" caption="Product Family" attribute="1" defaultMemberUniqueName="[Range].[Product Family].[All]" allUniqueName="[Range].[Product Family].[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Level 5 Desc]" caption="Level 5 Desc" attribute="1" defaultMemberUniqueName="[Range].[Level 5 Desc].[All]" allUniqueName="[Range].[Level 5 Desc].[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Quantity Sold]" caption="Quantity Sold" attribute="1" defaultMemberUniqueName="[Range].[Quantity Sold].[All]" allUniqueName="[Range].[Quantity Sold].[All]" dimensionUniqueName="[Range]" displayFolder="" count="0" memberValueDatatype="20" unbalanced="0"/>
    <cacheHierarchy uniqueName="[Range].[Gross Value on Unit Price]" caption="Gross Value on Unit Price" attribute="1" defaultMemberUniqueName="[Range].[Gross Value on Unit Price].[All]" allUniqueName="[Range].[Gross Value on Unit Price].[All]" dimensionUniqueName="[Range]" displayFolder="" count="0" memberValueDatatype="5" unbalanced="0"/>
    <cacheHierarchy uniqueName="[Range].[Invoice Number]" caption="Invoice Number" attribute="1" defaultMemberUniqueName="[Range].[Invoice Number].[All]" allUniqueName="[Range].[Invoice Number].[All]" dimensionUniqueName="[Range]" displayFolder="" count="0" memberValueDatatype="130" unbalanced="0"/>
    <cacheHierarchy uniqueName="[Range].[Dealer invoice Date]" caption="Dealer invoice Date" attribute="1" time="1" defaultMemberUniqueName="[Range].[Dealer invoice Date].[All]" allUniqueName="[Range].[Dealer invoice Date].[All]" dimensionUniqueName="[Range]" displayFolder="" count="0" memberValueDatatype="7" unbalanced="0"/>
    <cacheHierarchy uniqueName="[Range].[Dealer invoice No.]" caption="Dealer invoice No." attribute="1" defaultMemberUniqueName="[Range].[Dealer invoice No.].[All]" allUniqueName="[Range].[Dealer invoice No.].[All]" dimensionUniqueName="[Range]" displayFolder="" count="0" memberValueDatatype="130" unbalanced="0"/>
    <cacheHierarchy uniqueName="[Range].[Sales Representative]" caption="Sales Representative" attribute="1" defaultMemberUniqueName="[Range].[Sales Representative].[All]" allUniqueName="[Range].[Sales Representative].[All]" dimensionUniqueName="[Range]" displayFolder="" count="0" memberValueDatatype="130" unbalanced="0"/>
    <cacheHierarchy uniqueName="[Range].[TM Code]" caption="TM Code" attribute="1" defaultMemberUniqueName="[Range].[TM Code].[All]" allUniqueName="[Range].[TM Code].[All]" dimensionUniqueName="[Range]" displayFolder="" count="0" memberValueDatatype="20" unbalanced="0"/>
    <cacheHierarchy uniqueName="[Range].[Reporting Manager]" caption="Reporting Manager" attribute="1" defaultMemberUniqueName="[Range].[Reporting Manager].[All]" allUniqueName="[Range].[Reporting Manager].[All]" dimensionUniqueName="[Range]" displayFolder="" count="0" memberValueDatatype="130" unbalanced="0"/>
    <cacheHierarchy uniqueName="[Range].[Reporting Manager Emp ID]" caption="Reporting Manager Emp ID" attribute="1" defaultMemberUniqueName="[Range].[Reporting Manager Emp ID].[All]" allUniqueName="[Range].[Reporting Manager Emp ID].[All]" dimensionUniqueName="[Range]" displayFolder="" count="0" memberValueDatatype="20" unbalanced="0"/>
    <cacheHierarchy uniqueName="[Range].[Reporting Manager Designation]" caption="Reporting Manager Designation" attribute="1" defaultMemberUniqueName="[Range].[Reporting Manager Designation].[All]" allUniqueName="[Range].[Reporting Manager Designation].[All]" dimensionUniqueName="[Range]" displayFolder="" count="0" memberValueDatatype="130" unbalanced="0"/>
    <cacheHierarchy uniqueName="[Range].[Remarks]" caption="Remarks" attribute="1" defaultMemberUniqueName="[Range].[Remarks].[All]" allUniqueName="[Range].[Remarks].[All]" dimensionUniqueName="[Range]" displayFolder="" count="0" memberValueDatatype="130" unbalanced="0"/>
    <cacheHierarchy uniqueName="[Range].[Expiry Date 2]" caption="Expiry Date 2" attribute="1" defaultMemberUniqueName="[Range].[Expiry Date 2].[All]" allUniqueName="[Range].[Expiry Date 2].[All]" dimensionUniqueName="[Range]" displayFolder="" count="0" memberValueDatatype="130" unbalanced="0"/>
    <cacheHierarchy uniqueName="[Range].[IDT Remarks]" caption="IDT Remarks" attribute="1" defaultMemberUniqueName="[Range].[IDT Remarks].[All]" allUniqueName="[Range].[IDT Remarks].[All]" dimensionUniqueName="[Range]" displayFolder="" count="0" memberValueDatatype="130" unbalanced="0"/>
    <cacheHierarchy uniqueName="[Range].[IDT Approved By]" caption="IDT Approved By" attribute="1" defaultMemberUniqueName="[Range].[IDT Approved By].[All]" allUniqueName="[Range].[IDT Approved By].[All]" dimensionUniqueName="[Range]" displayFolder="" count="0" memberValueDatatype="130" unbalanced="0"/>
    <cacheHierarchy uniqueName="[Range].[Dealer Cancel Remark]" caption="Dealer Cancel Remark" attribute="1" defaultMemberUniqueName="[Range].[Dealer Cancel Remark].[All]" allUniqueName="[Range].[Dealer Cancel Remark].[All]" dimensionUniqueName="[Range]" displayFolder="" count="0" memberValueDatatype="130" unbalanced="0"/>
    <cacheHierarchy uniqueName="[Range].[Cancellation Approver Remark]" caption="Cancellation Approver Remark" attribute="1" defaultMemberUniqueName="[Range].[Cancellation Approver Remark].[All]" allUniqueName="[Range].[Cancellation Approver Remark].[All]" dimensionUniqueName="[Range]" displayFolder="" count="0" memberValueDatatype="130" unbalanced="0"/>
    <cacheHierarchy uniqueName="[Range].[Pending WithName]" caption="Pending WithName" attribute="1" defaultMemberUniqueName="[Range].[Pending WithName].[All]" allUniqueName="[Range].[Pending WithName].[All]" dimensionUniqueName="[Range]" displayFolder="" count="0" memberValueDatatype="130" unbalanced="0"/>
    <cacheHierarchy uniqueName="[Range].[SCK Remarks]" caption="SCK Remarks" attribute="1" defaultMemberUniqueName="[Range].[SCK Remarks].[All]" allUniqueName="[Range].[SCK Remarks].[All]" dimensionUniqueName="[Range]" displayFolder="" count="0" memberValueDatatype="130" unbalanced="0"/>
    <cacheHierarchy uniqueName="[Range].[Final Status]" caption="Final Status" attribute="1" defaultMemberUniqueName="[Range].[Final Status].[All]" allUniqueName="[Range].[Final Status].[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Dealer invoice No.]" caption="Count of Dealer invoice No." measure="1" displayFolder="" measureGroup="Range" count="0" hidden="1">
      <extLst>
        <ext xmlns:x15="http://schemas.microsoft.com/office/spreadsheetml/2010/11/main" uri="{B97F6D7D-B522-45F9-BDA1-12C45D357490}">
          <x15:cacheHierarchy aggregatedColumn="36"/>
        </ext>
      </extLst>
    </cacheHierarchy>
    <cacheHierarchy uniqueName="[Measures].[Distinct Count of Dealer invoice No.]" caption="Distinct Count of Dealer invoice No." measure="1" displayFolder="" measureGroup="Range" count="0" oneField="1" hidden="1">
      <fieldsUsage count="1">
        <fieldUsage x="1"/>
      </fieldsUsage>
      <extLst>
        <ext xmlns:x15="http://schemas.microsoft.com/office/spreadsheetml/2010/11/main" uri="{B97F6D7D-B522-45F9-BDA1-12C45D357490}">
          <x15:cacheHierarchy aggregatedColumn="3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KLP235" refreshedDate="46074.471410300925" backgroundQuery="1" createdVersion="3" refreshedVersion="8" minRefreshableVersion="3" recordCount="0" supportSubquery="1" supportAdvancedDrill="1" xr:uid="{4CE2BB56-27D3-49B6-9A00-AD7516ECD139}">
  <cacheSource type="external" connectionId="1">
    <extLst>
      <ext xmlns:x14="http://schemas.microsoft.com/office/spreadsheetml/2009/9/main" uri="{F057638F-6D5F-4e77-A914-E7F072B9BCA8}">
        <x14:sourceConnection name="ThisWorkbookDataModel"/>
      </ext>
    </extLst>
  </cacheSource>
  <cacheFields count="0"/>
  <cacheHierarchies count="55">
    <cacheHierarchy uniqueName="[Range].[Booking Month]" caption="Booking Month" attribute="1" defaultMemberUniqueName="[Range].[Booking Month].[All]" allUniqueName="[Range].[Booking Month].[All]" dimensionUniqueName="[Range]" displayFolder="" count="0" memberValueDatatype="130" unbalanced="0"/>
    <cacheHierarchy uniqueName="[Range].[Actual Sale Month]" caption="Actual Sale Month" attribute="1" defaultMemberUniqueName="[Range].[Actual Sale Month].[All]" allUniqueName="[Range].[Actual Sale Month].[All]" dimensionUniqueName="[Range]" displayFolder="" count="0" memberValueDatatype="130" unbalanced="0"/>
    <cacheHierarchy uniqueName="[Range].[Order Date]" caption="Order Date" attribute="1" defaultMemberUniqueName="[Range].[Order Date].[All]" allUniqueName="[Range].[Order Date].[All]" dimensionUniqueName="[Range]" displayFolder="" count="0" memberValueDatatype="130" unbalanced="0"/>
    <cacheHierarchy uniqueName="[Range].[Cancellation Month]" caption="Cancellation Month" attribute="1" defaultMemberUniqueName="[Range].[Cancellation Month].[All]" allUniqueName="[Range].[Cancellation Month].[All]" dimensionUniqueName="[Range]" displayFolder="" count="0" memberValueDatatype="130" unbalanced="0"/>
    <cacheHierarchy uniqueName="[Range].[Year]" caption="Year" attribute="1" defaultMemberUniqueName="[Range].[Year].[All]" allUniqueName="[Range].[Year].[All]" dimensionUniqueName="[Range]" displayFolder="" count="0" memberValueDatatype="130" unbalanced="0"/>
    <cacheHierarchy uniqueName="[Range].[Last ModiFied Date]" caption="Last ModiFied Date" attribute="1" defaultMemberUniqueName="[Range].[Last ModiFied Date].[All]" allUniqueName="[Range].[Last ModiFied Date].[All]" dimensionUniqueName="[Range]" displayFolder="" count="0" memberValueDatatype="130" unbalanced="0"/>
    <cacheHierarchy uniqueName="[Range].[Business Unit Name]" caption="Business Unit Name" attribute="1" defaultMemberUniqueName="[Range].[Business Unit Name].[All]" allUniqueName="[Range].[Business Unit 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O#]" caption="SO#" attribute="1" defaultMemberUniqueName="[Range].[SO#].[All]" allUniqueName="[Range].[SO#].[All]" dimensionUniqueName="[Range]" displayFolder="" count="0" memberValueDatatype="130" unbalanced="0"/>
    <cacheHierarchy uniqueName="[Range].[Dealer Name]" caption="Dealer Name" attribute="1" defaultMemberUniqueName="[Range].[Dealer Name].[All]" allUniqueName="[Range].[Dealer Name].[All]" dimensionUniqueName="[Range]" displayFolder="" count="0" memberValueDatatype="130" unbalanced="0"/>
    <cacheHierarchy uniqueName="[Range].[Dealer Code]" caption="Dealer Code" attribute="1" defaultMemberUniqueName="[Range].[Dealer Code].[All]" allUniqueName="[Range].[Dealer Code].[All]" dimensionUniqueName="[Range]" displayFolder="" count="0" memberValueDatatype="130" unbalanced="0"/>
    <cacheHierarchy uniqueName="[Range].[Hospital Name]" caption="Hospital Name" attribute="1" defaultMemberUniqueName="[Range].[Hospital Name].[All]" allUniqueName="[Range].[Hospital Name].[All]" dimensionUniqueName="[Range]" displayFolder="" count="0" memberValueDatatype="130" unbalanced="0"/>
    <cacheHierarchy uniqueName="[Range].[Sold Through]" caption="Sold Through" attribute="1" defaultMemberUniqueName="[Range].[Sold Through].[All]" allUniqueName="[Range].[Sold Through].[All]" dimensionUniqueName="[Range]" displayFolder="" count="0" memberValueDatatype="130" unbalanced="0"/>
    <cacheHierarchy uniqueName="[Range].[Parent Hospital Code]" caption="Parent Hospital Code" attribute="1" defaultMemberUniqueName="[Range].[Parent Hospital Code].[All]" allUniqueName="[Range].[Parent Hospital Code].[All]" dimensionUniqueName="[Range]" displayFolder="" count="0" memberValueDatatype="130" unbalanced="0"/>
    <cacheHierarchy uniqueName="[Range].[Hospital I Grow Code]" caption="Hospital I Grow Code" attribute="1" defaultMemberUniqueName="[Range].[Hospital I Grow Code].[All]" allUniqueName="[Range].[Hospital I Grow Code].[All]" dimensionUniqueName="[Range]" displayFolder="" count="0" memberValueDatatype="130" unbalanced="0"/>
    <cacheHierarchy uniqueName="[Range].[Hospital Segment]" caption="Hospital Segment" attribute="1" defaultMemberUniqueName="[Range].[Hospital Segment].[All]" allUniqueName="[Range].[Hospital Segment].[All]" dimensionUniqueName="[Range]" displayFolder="" count="0" memberValueDatatype="130" unbalanced="0"/>
    <cacheHierarchy uniqueName="[Range].[Hospital Group]" caption="Hospital Group" attribute="1" defaultMemberUniqueName="[Range].[Hospital Group].[All]" allUniqueName="[Range].[Hospital Group].[All]" dimensionUniqueName="[Range]" displayFolder="" count="0" memberValueDatatype="130" unbalanced="0"/>
    <cacheHierarchy uniqueName="[Range].[City Name]" caption="City Name" attribute="1" defaultMemberUniqueName="[Range].[City Name].[All]" allUniqueName="[Range].[City Name].[All]" dimensionUniqueName="[Range]" displayFolder="" count="0" memberValueDatatype="130" unbalanced="0"/>
    <cacheHierarchy uniqueName="[Range].[Hospital City Tier]" caption="Hospital City Tier" attribute="1" defaultMemberUniqueName="[Range].[Hospital City Tier].[All]" allUniqueName="[Range].[Hospital City Tier].[All]" dimensionUniqueName="[Range]" displayFolder="" count="0" memberValueDatatype="130" unbalanced="0"/>
    <cacheHierarchy uniqueName="[Range].[State Name]" caption="State Name" attribute="1" defaultMemberUniqueName="[Range].[State Name].[All]" allUniqueName="[Range].[State Name].[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UPN]" caption="UPN" attribute="1" defaultMemberUniqueName="[Range].[UPN].[All]" allUniqueName="[Range].[UPN].[All]" dimensionUniqueName="[Range]" displayFolder="" count="0" memberValueDatatype="130" unbalanced="0"/>
    <cacheHierarchy uniqueName="[Range].[Batch Number]" caption="Batch Number" attribute="1" defaultMemberUniqueName="[Range].[Batch Number].[All]" allUniqueName="[Range].[Batch Number].[All]" dimensionUniqueName="[Range]" displayFolder="" count="0" memberValueDatatype="130" unbalanced="0"/>
    <cacheHierarchy uniqueName="[Range].[Expiry Date]" caption="Expiry Date" attribute="1" defaultMemberUniqueName="[Range].[Expiry Date].[All]" allUniqueName="[Range].[Expiry Date].[All]" dimensionUniqueName="[Range]" displayFolder="" count="0" memberValueDatatype="130" unbalanced="0"/>
    <cacheHierarchy uniqueName="[Range].[Item Description]" caption="Item Description" attribute="1" defaultMemberUniqueName="[Range].[Item Description].[All]" allUniqueName="[Range].[Item Description].[All]" dimensionUniqueName="[Range]" displayFolder="" count="0" memberValueDatatype="130" unbalanced="0"/>
    <cacheHierarchy uniqueName="[Range].[Level 1 Desc]" caption="Level 1 Desc" attribute="1" defaultMemberUniqueName="[Range].[Level 1 Desc].[All]" allUniqueName="[Range].[Level 1 Desc].[All]" dimensionUniqueName="[Range]" displayFolder="" count="0" memberValueDatatype="130" unbalanced="0"/>
    <cacheHierarchy uniqueName="[Range].[Level 2 Desc]" caption="Level 2 Desc" attribute="1" defaultMemberUniqueName="[Range].[Level 2 Desc].[All]" allUniqueName="[Range].[Level 2 Desc].[All]" dimensionUniqueName="[Range]" displayFolder="" count="0" memberValueDatatype="130" unbalanced="0"/>
    <cacheHierarchy uniqueName="[Range].[Level 3 Desc]" caption="Level 3 Desc" attribute="1" defaultMemberUniqueName="[Range].[Level 3 Desc].[All]" allUniqueName="[Range].[Level 3 Desc].[All]" dimensionUniqueName="[Range]" displayFolder="" count="0" memberValueDatatype="130" unbalanced="0"/>
    <cacheHierarchy uniqueName="[Range].[Product Family]" caption="Product Family" attribute="1" defaultMemberUniqueName="[Range].[Product Family].[All]" allUniqueName="[Range].[Product Family].[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Level 5 Desc]" caption="Level 5 Desc" attribute="1" defaultMemberUniqueName="[Range].[Level 5 Desc].[All]" allUniqueName="[Range].[Level 5 Desc].[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Quantity Sold]" caption="Quantity Sold" attribute="1" defaultMemberUniqueName="[Range].[Quantity Sold].[All]" allUniqueName="[Range].[Quantity Sold].[All]" dimensionUniqueName="[Range]" displayFolder="" count="0" memberValueDatatype="20" unbalanced="0"/>
    <cacheHierarchy uniqueName="[Range].[Gross Value on Unit Price]" caption="Gross Value on Unit Price" attribute="1" defaultMemberUniqueName="[Range].[Gross Value on Unit Price].[All]" allUniqueName="[Range].[Gross Value on Unit Price].[All]" dimensionUniqueName="[Range]" displayFolder="" count="0" memberValueDatatype="5" unbalanced="0"/>
    <cacheHierarchy uniqueName="[Range].[Invoice Number]" caption="Invoice Number" attribute="1" defaultMemberUniqueName="[Range].[Invoice Number].[All]" allUniqueName="[Range].[Invoice Number].[All]" dimensionUniqueName="[Range]" displayFolder="" count="0" memberValueDatatype="130" unbalanced="0"/>
    <cacheHierarchy uniqueName="[Range].[Dealer invoice Date]" caption="Dealer invoice Date" attribute="1" time="1" defaultMemberUniqueName="[Range].[Dealer invoice Date].[All]" allUniqueName="[Range].[Dealer invoice Date].[All]" dimensionUniqueName="[Range]" displayFolder="" count="0" memberValueDatatype="7" unbalanced="0"/>
    <cacheHierarchy uniqueName="[Range].[Dealer invoice No.]" caption="Dealer invoice No." attribute="1" defaultMemberUniqueName="[Range].[Dealer invoice No.].[All]" allUniqueName="[Range].[Dealer invoice No.].[All]" dimensionUniqueName="[Range]" displayFolder="" count="0" memberValueDatatype="130" unbalanced="0"/>
    <cacheHierarchy uniqueName="[Range].[Sales Representative]" caption="Sales Representative" attribute="1" defaultMemberUniqueName="[Range].[Sales Representative].[All]" allUniqueName="[Range].[Sales Representative].[All]" dimensionUniqueName="[Range]" displayFolder="" count="0" memberValueDatatype="130" unbalanced="0"/>
    <cacheHierarchy uniqueName="[Range].[TM Code]" caption="TM Code" attribute="1" defaultMemberUniqueName="[Range].[TM Code].[All]" allUniqueName="[Range].[TM Code].[All]" dimensionUniqueName="[Range]" displayFolder="" count="0" memberValueDatatype="20" unbalanced="0"/>
    <cacheHierarchy uniqueName="[Range].[Reporting Manager]" caption="Reporting Manager" attribute="1" defaultMemberUniqueName="[Range].[Reporting Manager].[All]" allUniqueName="[Range].[Reporting Manager].[All]" dimensionUniqueName="[Range]" displayFolder="" count="0" memberValueDatatype="130" unbalanced="0"/>
    <cacheHierarchy uniqueName="[Range].[Reporting Manager Emp ID]" caption="Reporting Manager Emp ID" attribute="1" defaultMemberUniqueName="[Range].[Reporting Manager Emp ID].[All]" allUniqueName="[Range].[Reporting Manager Emp ID].[All]" dimensionUniqueName="[Range]" displayFolder="" count="0" memberValueDatatype="20" unbalanced="0"/>
    <cacheHierarchy uniqueName="[Range].[Reporting Manager Designation]" caption="Reporting Manager Designation" attribute="1" defaultMemberUniqueName="[Range].[Reporting Manager Designation].[All]" allUniqueName="[Range].[Reporting Manager Designation].[All]" dimensionUniqueName="[Range]" displayFolder="" count="0" memberValueDatatype="130" unbalanced="0"/>
    <cacheHierarchy uniqueName="[Range].[Remarks]" caption="Remarks" attribute="1" defaultMemberUniqueName="[Range].[Remarks].[All]" allUniqueName="[Range].[Remarks].[All]" dimensionUniqueName="[Range]" displayFolder="" count="0" memberValueDatatype="130" unbalanced="0"/>
    <cacheHierarchy uniqueName="[Range].[Expiry Date 2]" caption="Expiry Date 2" attribute="1" defaultMemberUniqueName="[Range].[Expiry Date 2].[All]" allUniqueName="[Range].[Expiry Date 2].[All]" dimensionUniqueName="[Range]" displayFolder="" count="0" memberValueDatatype="130" unbalanced="0"/>
    <cacheHierarchy uniqueName="[Range].[IDT Remarks]" caption="IDT Remarks" attribute="1" defaultMemberUniqueName="[Range].[IDT Remarks].[All]" allUniqueName="[Range].[IDT Remarks].[All]" dimensionUniqueName="[Range]" displayFolder="" count="0" memberValueDatatype="130" unbalanced="0"/>
    <cacheHierarchy uniqueName="[Range].[IDT Approved By]" caption="IDT Approved By" attribute="1" defaultMemberUniqueName="[Range].[IDT Approved By].[All]" allUniqueName="[Range].[IDT Approved By].[All]" dimensionUniqueName="[Range]" displayFolder="" count="0" memberValueDatatype="130" unbalanced="0"/>
    <cacheHierarchy uniqueName="[Range].[Dealer Cancel Remark]" caption="Dealer Cancel Remark" attribute="1" defaultMemberUniqueName="[Range].[Dealer Cancel Remark].[All]" allUniqueName="[Range].[Dealer Cancel Remark].[All]" dimensionUniqueName="[Range]" displayFolder="" count="0" memberValueDatatype="130" unbalanced="0"/>
    <cacheHierarchy uniqueName="[Range].[Cancellation Approver Remark]" caption="Cancellation Approver Remark" attribute="1" defaultMemberUniqueName="[Range].[Cancellation Approver Remark].[All]" allUniqueName="[Range].[Cancellation Approver Remark].[All]" dimensionUniqueName="[Range]" displayFolder="" count="0" memberValueDatatype="130" unbalanced="0"/>
    <cacheHierarchy uniqueName="[Range].[Pending WithName]" caption="Pending WithName" attribute="1" defaultMemberUniqueName="[Range].[Pending WithName].[All]" allUniqueName="[Range].[Pending WithName].[All]" dimensionUniqueName="[Range]" displayFolder="" count="0" memberValueDatatype="130" unbalanced="0"/>
    <cacheHierarchy uniqueName="[Range].[SCK Remarks]" caption="SCK Remarks" attribute="1" defaultMemberUniqueName="[Range].[SCK Remarks].[All]" allUniqueName="[Range].[SCK Remarks].[All]" dimensionUniqueName="[Range]" displayFolder="" count="0" memberValueDatatype="130" unbalanced="0"/>
    <cacheHierarchy uniqueName="[Range].[Final Status]" caption="Final Status" attribute="1" defaultMemberUniqueName="[Range].[Final Status].[All]" allUniqueName="[Range].[Final Status].[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Dealer invoice No.]" caption="Count of Dealer invoice No." measure="1" displayFolder="" measureGroup="Range" count="0" hidden="1">
      <extLst>
        <ext xmlns:x15="http://schemas.microsoft.com/office/spreadsheetml/2010/11/main" uri="{B97F6D7D-B522-45F9-BDA1-12C45D357490}">
          <x15:cacheHierarchy aggregatedColumn="36"/>
        </ext>
      </extLst>
    </cacheHierarchy>
    <cacheHierarchy uniqueName="[Measures].[Distinct Count of Dealer invoice No.]" caption="Distinct Count of Dealer invoice No." measure="1" displayFolder="" measureGroup="Range" count="0" hidden="1">
      <extLst>
        <ext xmlns:x15="http://schemas.microsoft.com/office/spreadsheetml/2010/11/main" uri="{B97F6D7D-B522-45F9-BDA1-12C45D357490}">
          <x15:cacheHierarchy aggregatedColumn="36"/>
        </ext>
      </extLst>
    </cacheHierarchy>
  </cacheHierarchies>
  <kpis count="0"/>
  <extLst>
    <ext xmlns:x14="http://schemas.microsoft.com/office/spreadsheetml/2009/9/main" uri="{725AE2AE-9491-48be-B2B4-4EB974FC3084}">
      <x14:pivotCacheDefinition slicerData="1" pivotCacheId="10158688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DC2FD7-2D73-47E1-948E-113441515351}" name="PivotTable4" cacheId="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7"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Distinct Count of Dealer invoice No." fld="1" subtotal="count" baseField="0" baseItem="0">
      <extLst>
        <ext xmlns:x15="http://schemas.microsoft.com/office/spreadsheetml/2010/11/main" uri="{FABC7310-3BB5-11E1-824E-6D434824019B}">
          <x15:dataField isCountDistinct="1"/>
        </ext>
      </extLst>
    </dataField>
  </dataFields>
  <formats count="6">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outline="0" axis="axisValues"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Final Status].&amp;[Exclude]"/>
      </members>
    </pivotHierarchy>
    <pivotHierarchy dragToRow="0" dragToCol="0" dragToPage="0" dragToData="1"/>
    <pivotHierarchy dragToRow="0" dragToCol="0" dragToPage="0" dragToData="1"/>
    <pivotHierarchy dragToData="1"/>
    <pivotHierarchy dragToData="1" caption="Distinct Count of Dealer invoice No."/>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econdary!$A$1:$AY$30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l_Status" xr10:uid="{23AB4455-D399-41E3-8639-DEF82BF043C8}" sourceName="[Range].[Final Status]">
  <pivotTables>
    <pivotTable tabId="3" name="PivotTable4"/>
  </pivotTables>
  <data>
    <olap pivotCacheId="1015868801">
      <levels count="2">
        <level uniqueName="[Range].[Final Status].[(All)]" sourceCaption="(All)" count="0"/>
        <level uniqueName="[Range].[Final Status].[Final Status]" sourceCaption="Final Status" count="3">
          <ranges>
            <range startItem="0">
              <i n="[Range].[Final Status].&amp;[Audit]" c="Audit"/>
              <i n="[Range].[Final Status].&amp;[Exclude]" c="Exclude"/>
              <i n="[Range].[Final Status].&amp;[Received]" c="Received"/>
            </range>
          </ranges>
        </level>
      </levels>
      <selections count="1">
        <selection n="[Range].[Final Status].&amp;[Exclud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l Status" xr10:uid="{EF7686D1-4EEE-46DD-9F5D-BC8692466634}" cache="Slicer_Final_Status" caption="Final Status"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drive.google.com/file/d/1jEzUPLC5enWuPc-PrNuyjngSYbnxZ3Tr/view?usp=drivesdk" TargetMode="External"/><Relationship Id="rId299" Type="http://schemas.openxmlformats.org/officeDocument/2006/relationships/hyperlink" Target="https://drive.google.com/file/d/1DDp9ANViVG4X7yTVaAs1LTpcFy7GUtM-/view?usp=drivesdk" TargetMode="External"/><Relationship Id="rId21" Type="http://schemas.openxmlformats.org/officeDocument/2006/relationships/hyperlink" Target="https://drive.google.com/file/d/1d2I0BkWFYDxy-Rl1aVhJF5tycYaRj3HG/view?usp=drivesdk" TargetMode="External"/><Relationship Id="rId63" Type="http://schemas.openxmlformats.org/officeDocument/2006/relationships/hyperlink" Target="https://drive.google.com/file/d/199GY3CNJLGYLn45oWzdJ-91ZVTvwQ3ks/view?usp=drivesdk" TargetMode="External"/><Relationship Id="rId159" Type="http://schemas.openxmlformats.org/officeDocument/2006/relationships/hyperlink" Target="https://drive.google.com/file/d/1fDA7TDpronmskYibwlNKoqmPo4aK4B4L/view?usp=drivesdk" TargetMode="External"/><Relationship Id="rId170" Type="http://schemas.openxmlformats.org/officeDocument/2006/relationships/hyperlink" Target="https://drive.google.com/file/d/1b7g5dJj_vNIpI-0CTQb5eVpC1CNbl0j9/view?usp=drivesdk" TargetMode="External"/><Relationship Id="rId226" Type="http://schemas.openxmlformats.org/officeDocument/2006/relationships/hyperlink" Target="https://drive.google.com/file/d/12LwsuOuC8EjupfbzU6DpUd2iRHOl-Ary/view?usp=drivesdk" TargetMode="External"/><Relationship Id="rId268" Type="http://schemas.openxmlformats.org/officeDocument/2006/relationships/hyperlink" Target="https://drive.google.com/file/d/1VwTAuYv4BWKXTX-pi_dXTuD25jTQbOzL/view?usp=drivesdk" TargetMode="External"/><Relationship Id="rId32" Type="http://schemas.openxmlformats.org/officeDocument/2006/relationships/hyperlink" Target="https://drive.google.com/file/d/1IgEqnLZ7OSgiimyXjKZNJPQ0xtnEJjWv/view?usp=drivesdk" TargetMode="External"/><Relationship Id="rId74" Type="http://schemas.openxmlformats.org/officeDocument/2006/relationships/hyperlink" Target="https://drive.google.com/file/d/1tPY-ZhinsRnCvfrudmiBCBgkCfUyFsr9/view?usp=drivesdk" TargetMode="External"/><Relationship Id="rId128" Type="http://schemas.openxmlformats.org/officeDocument/2006/relationships/hyperlink" Target="https://drive.google.com/file/d/1K5ryn3rE4s2WkG2B7MIVKbLQupP3-Wu2/view?usp=drivesdk" TargetMode="External"/><Relationship Id="rId5" Type="http://schemas.openxmlformats.org/officeDocument/2006/relationships/hyperlink" Target="https://drive.google.com/file/d/1dJSPAAC5Phi8LUAR1NowoL2kFyxdk1mQ/view?usp=drivesdk" TargetMode="External"/><Relationship Id="rId181" Type="http://schemas.openxmlformats.org/officeDocument/2006/relationships/hyperlink" Target="https://drive.google.com/file/d/1UECbthjHYi5vu2UFbLyRA18WpE4wuFfK/view?usp=drivesdk" TargetMode="External"/><Relationship Id="rId237" Type="http://schemas.openxmlformats.org/officeDocument/2006/relationships/hyperlink" Target="https://drive.google.com/file/d/1UuoVzxMwoQa6GZxqWNN4a7kpR8iTyjgb/view?usp=drivesdk" TargetMode="External"/><Relationship Id="rId279" Type="http://schemas.openxmlformats.org/officeDocument/2006/relationships/hyperlink" Target="https://drive.google.com/file/d/1h7GjvjagQl216giwSxm276X2ja_r3DIm/view?usp=drivesdk" TargetMode="External"/><Relationship Id="rId43" Type="http://schemas.openxmlformats.org/officeDocument/2006/relationships/hyperlink" Target="https://drive.google.com/file/d/1wyDf5zjHNw5ueVGmljAGgeFRWV_FK_ke/view?usp=drivesdk" TargetMode="External"/><Relationship Id="rId139" Type="http://schemas.openxmlformats.org/officeDocument/2006/relationships/hyperlink" Target="https://drive.google.com/file/d/1rltKbQJMhORfUkKx_iw8A-GQrgXDMLhU/view?usp=drivesdk" TargetMode="External"/><Relationship Id="rId290" Type="http://schemas.openxmlformats.org/officeDocument/2006/relationships/hyperlink" Target="https://drive.google.com/file/d/1yn7WtGAiOGG0_cUFPggF-Ch84jlpJN2m/view?usp=drivesdk" TargetMode="External"/><Relationship Id="rId304" Type="http://schemas.openxmlformats.org/officeDocument/2006/relationships/hyperlink" Target="https://drive.google.com/file/d/1Cq6v0Mu5pm4vMmYFoJpyyJsuqCwAmSDw/view?usp=drivesdk" TargetMode="External"/><Relationship Id="rId85" Type="http://schemas.openxmlformats.org/officeDocument/2006/relationships/hyperlink" Target="https://drive.google.com/file/d/1WXjmbQ0_ksp4Wj-rhDN_DeWQupDm47F9/view?usp=drivesdk" TargetMode="External"/><Relationship Id="rId150" Type="http://schemas.openxmlformats.org/officeDocument/2006/relationships/hyperlink" Target="https://drive.google.com/file/d/1E03hk9jQ1Z-xbCal1G4sFnnTrp9jlXme/view?usp=drivesdk" TargetMode="External"/><Relationship Id="rId192" Type="http://schemas.openxmlformats.org/officeDocument/2006/relationships/hyperlink" Target="https://drive.google.com/file/d/10GfDTfPprAuuf4t00tv5NMWQY2ItWuji/view?usp=drivesdk" TargetMode="External"/><Relationship Id="rId206" Type="http://schemas.openxmlformats.org/officeDocument/2006/relationships/hyperlink" Target="https://drive.google.com/file/d/16JcSNHyTaOb4sNUTIOwoPYPzEyfmTcf0/view?usp=drivesdk" TargetMode="External"/><Relationship Id="rId248" Type="http://schemas.openxmlformats.org/officeDocument/2006/relationships/hyperlink" Target="https://drive.google.com/file/d/1CchC095q9WGNqVQTjt1lRmnr6UBc3c2y/view?usp=drivesdk" TargetMode="External"/><Relationship Id="rId12" Type="http://schemas.openxmlformats.org/officeDocument/2006/relationships/hyperlink" Target="https://drive.google.com/file/d/1-CKUHxDEZu4cUZWrBNxBpUKqLbNsMHKM/view?usp=drivesdk" TargetMode="External"/><Relationship Id="rId108" Type="http://schemas.openxmlformats.org/officeDocument/2006/relationships/hyperlink" Target="https://drive.google.com/file/d/18RMKuex-R3WXBDbkfqjGVAZfvNBiVf52/view?usp=drivesdk" TargetMode="External"/><Relationship Id="rId54" Type="http://schemas.openxmlformats.org/officeDocument/2006/relationships/hyperlink" Target="https://drive.google.com/file/d/1wP8q8NBj2Mt5MAh0pS33aNiQGAXg5WdC/view?usp=drivesdk" TargetMode="External"/><Relationship Id="rId96" Type="http://schemas.openxmlformats.org/officeDocument/2006/relationships/hyperlink" Target="https://drive.google.com/file/d/1QkCexE_kDEtXuddO-TIi2f6LoNbRuRW2/view?usp=drivesdk" TargetMode="External"/><Relationship Id="rId161" Type="http://schemas.openxmlformats.org/officeDocument/2006/relationships/hyperlink" Target="https://drive.google.com/file/d/1fDA7TDpronmskYibwlNKoqmPo4aK4B4L/view?usp=drivesdk" TargetMode="External"/><Relationship Id="rId217" Type="http://schemas.openxmlformats.org/officeDocument/2006/relationships/hyperlink" Target="https://drive.google.com/file/d/1_GPjzkaglz9Y8vdUDE2ufes2JBK4QvNy/view?usp=drivesdk" TargetMode="External"/><Relationship Id="rId259" Type="http://schemas.openxmlformats.org/officeDocument/2006/relationships/hyperlink" Target="https://drive.google.com/file/d/1b9kAinZV5ij327ypHsc5EiZCq33pYSHa/view?usp=drivesdk" TargetMode="External"/><Relationship Id="rId23" Type="http://schemas.openxmlformats.org/officeDocument/2006/relationships/hyperlink" Target="https://drive.google.com/file/d/1d2I0BkWFYDxy-Rl1aVhJF5tycYaRj3HG/view?usp=drivesdk" TargetMode="External"/><Relationship Id="rId119" Type="http://schemas.openxmlformats.org/officeDocument/2006/relationships/hyperlink" Target="https://drive.google.com/file/d/1jEzUPLC5enWuPc-PrNuyjngSYbnxZ3Tr/view?usp=drivesdk" TargetMode="External"/><Relationship Id="rId270" Type="http://schemas.openxmlformats.org/officeDocument/2006/relationships/hyperlink" Target="https://drive.google.com/file/d/1Pcgo2KVra8XWJKF53eaedSnDf6wvvZm4/view?usp=drivesdk" TargetMode="External"/><Relationship Id="rId44" Type="http://schemas.openxmlformats.org/officeDocument/2006/relationships/hyperlink" Target="https://drive.google.com/file/d/1wyDf5zjHNw5ueVGmljAGgeFRWV_FK_ke/view?usp=drivesdk" TargetMode="External"/><Relationship Id="rId65" Type="http://schemas.openxmlformats.org/officeDocument/2006/relationships/hyperlink" Target="https://drive.google.com/file/d/1OQAlYgcNz4Vigc6twPE_R_97xxz6Pmly/view?usp=drivesdk" TargetMode="External"/><Relationship Id="rId86" Type="http://schemas.openxmlformats.org/officeDocument/2006/relationships/hyperlink" Target="https://drive.google.com/file/d/1WXjmbQ0_ksp4Wj-rhDN_DeWQupDm47F9/view?usp=drivesdk" TargetMode="External"/><Relationship Id="rId130" Type="http://schemas.openxmlformats.org/officeDocument/2006/relationships/hyperlink" Target="https://drive.google.com/file/d/1zbmcgEoEQ2co1Uaf6B1PeroHcWjqe_A_/view?usp=drivesdk" TargetMode="External"/><Relationship Id="rId151" Type="http://schemas.openxmlformats.org/officeDocument/2006/relationships/hyperlink" Target="https://drive.google.com/file/d/1E03hk9jQ1Z-xbCal1G4sFnnTrp9jlXme/view?usp=drivesdk" TargetMode="External"/><Relationship Id="rId172" Type="http://schemas.openxmlformats.org/officeDocument/2006/relationships/hyperlink" Target="https://drive.google.com/file/d/1wpLA9CvRpeHGrhHWddOESO4wflaZ8D2U/view?usp=drivesdk" TargetMode="External"/><Relationship Id="rId193" Type="http://schemas.openxmlformats.org/officeDocument/2006/relationships/hyperlink" Target="https://drive.google.com/file/d/1Y8dKz5-hrr7jzLpPHyND3NDFbj1PTDFD/view?usp=drivesdk" TargetMode="External"/><Relationship Id="rId207" Type="http://schemas.openxmlformats.org/officeDocument/2006/relationships/hyperlink" Target="https://drive.google.com/file/d/1S5HIbVqDswT1KV5O_XuE99mRhZSvomAW/view?usp=drivesdk" TargetMode="External"/><Relationship Id="rId228" Type="http://schemas.openxmlformats.org/officeDocument/2006/relationships/hyperlink" Target="https://drive.google.com/file/d/1y1Fl0XbOLxT4yUHhWsexwsfw78GCQ5YN/view?usp=drivesdk" TargetMode="External"/><Relationship Id="rId249" Type="http://schemas.openxmlformats.org/officeDocument/2006/relationships/hyperlink" Target="https://drive.google.com/file/d/1CchC095q9WGNqVQTjt1lRmnr6UBc3c2y/view?usp=drivesdk" TargetMode="External"/><Relationship Id="rId13" Type="http://schemas.openxmlformats.org/officeDocument/2006/relationships/hyperlink" Target="https://drive.google.com/file/d/1-CKUHxDEZu4cUZWrBNxBpUKqLbNsMHKM/view?usp=drivesdk" TargetMode="External"/><Relationship Id="rId109" Type="http://schemas.openxmlformats.org/officeDocument/2006/relationships/hyperlink" Target="https://drive.google.com/file/d/1OJyUF_Cwou1UHIJE2R3CftBabuA5X4af/view?usp=drivesdk" TargetMode="External"/><Relationship Id="rId260" Type="http://schemas.openxmlformats.org/officeDocument/2006/relationships/hyperlink" Target="https://drive.google.com/file/d/1h5tEHXlw-YJ3mzADFHYvBZSQsvfR-Y6O/view?usp=drivesdk" TargetMode="External"/><Relationship Id="rId281" Type="http://schemas.openxmlformats.org/officeDocument/2006/relationships/hyperlink" Target="https://drive.google.com/file/d/11ASGLnziMvWETt3n-CsgH6bpKUbMQ-ZT/view?usp=drivesdk" TargetMode="External"/><Relationship Id="rId34" Type="http://schemas.openxmlformats.org/officeDocument/2006/relationships/hyperlink" Target="https://drive.google.com/file/d/1s-nHIvog-mysI00AKaWwut-64_nMtcsQ/view?usp=drivesdk" TargetMode="External"/><Relationship Id="rId55" Type="http://schemas.openxmlformats.org/officeDocument/2006/relationships/hyperlink" Target="https://drive.google.com/file/d/1wP8q8NBj2Mt5MAh0pS33aNiQGAXg5WdC/view?usp=drivesdk" TargetMode="External"/><Relationship Id="rId76" Type="http://schemas.openxmlformats.org/officeDocument/2006/relationships/hyperlink" Target="https://drive.google.com/file/d/1tPY-ZhinsRnCvfrudmiBCBgkCfUyFsr9/view?usp=drivesdk" TargetMode="External"/><Relationship Id="rId97" Type="http://schemas.openxmlformats.org/officeDocument/2006/relationships/hyperlink" Target="https://drive.google.com/file/d/1n6rPH9rUdIjpiQn9HYcWWSgL_FAh2Ujd/view?usp=drivesdk" TargetMode="External"/><Relationship Id="rId120" Type="http://schemas.openxmlformats.org/officeDocument/2006/relationships/hyperlink" Target="https://drive.google.com/file/d/1jEzUPLC5enWuPc-PrNuyjngSYbnxZ3Tr/view?usp=drivesdk" TargetMode="External"/><Relationship Id="rId141" Type="http://schemas.openxmlformats.org/officeDocument/2006/relationships/hyperlink" Target="https://drive.google.com/file/d/1ob8iFRMAczVuw7TLhSku6oBDh9fnd26F/view?usp=drivesdk" TargetMode="External"/><Relationship Id="rId7" Type="http://schemas.openxmlformats.org/officeDocument/2006/relationships/hyperlink" Target="https://drive.google.com/file/d/1Uv_4BGKmuL56IM34OxaH_363Q-KqDkyX/view?usp=drivesdk" TargetMode="External"/><Relationship Id="rId162" Type="http://schemas.openxmlformats.org/officeDocument/2006/relationships/hyperlink" Target="https://drive.google.com/file/d/1fDA7TDpronmskYibwlNKoqmPo4aK4B4L/view?usp=drivesdk" TargetMode="External"/><Relationship Id="rId183" Type="http://schemas.openxmlformats.org/officeDocument/2006/relationships/hyperlink" Target="https://drive.google.com/file/d/1WIR5zsAcLbIwG2FlFQ9iB1t92uqiuIIB/view?usp=drivesdk" TargetMode="External"/><Relationship Id="rId218" Type="http://schemas.openxmlformats.org/officeDocument/2006/relationships/hyperlink" Target="https://drive.google.com/file/d/1Zy1CbNA7BHmG-Djuc1ToVR33YtwRRV0N/view?usp=drivesdk" TargetMode="External"/><Relationship Id="rId239" Type="http://schemas.openxmlformats.org/officeDocument/2006/relationships/hyperlink" Target="https://drive.google.com/file/d/1i9IVd9XNB6pB2QIXPQCLQsSjCF3i12i6/view?usp=drivesdk" TargetMode="External"/><Relationship Id="rId250" Type="http://schemas.openxmlformats.org/officeDocument/2006/relationships/hyperlink" Target="https://drive.google.com/file/d/1aX_nRZJ548cXGQ1u9auS7iMhNXsqh1lA/view?usp=drivesdk" TargetMode="External"/><Relationship Id="rId271" Type="http://schemas.openxmlformats.org/officeDocument/2006/relationships/hyperlink" Target="https://drive.google.com/file/d/13cYWgHyRtNzzNS7-Jya2HzipcUbd5HVc/view?usp=drivesdk" TargetMode="External"/><Relationship Id="rId292" Type="http://schemas.openxmlformats.org/officeDocument/2006/relationships/hyperlink" Target="https://drive.google.com/file/d/1yn7WtGAiOGG0_cUFPggF-Ch84jlpJN2m/view?usp=drivesdk" TargetMode="External"/><Relationship Id="rId306" Type="http://schemas.openxmlformats.org/officeDocument/2006/relationships/hyperlink" Target="https://drive.google.com/file/d/1vI3TWA3aVlkfptHiMgweEW5vCv_-attt/view?usp=drivesdk" TargetMode="External"/><Relationship Id="rId24" Type="http://schemas.openxmlformats.org/officeDocument/2006/relationships/hyperlink" Target="https://drive.google.com/file/d/1d2I0BkWFYDxy-Rl1aVhJF5tycYaRj3HG/view?usp=drivesdk" TargetMode="External"/><Relationship Id="rId45" Type="http://schemas.openxmlformats.org/officeDocument/2006/relationships/hyperlink" Target="https://drive.google.com/file/d/1wyDf5zjHNw5ueVGmljAGgeFRWV_FK_ke/view?usp=drivesdk" TargetMode="External"/><Relationship Id="rId66" Type="http://schemas.openxmlformats.org/officeDocument/2006/relationships/hyperlink" Target="https://drive.google.com/file/d/1OQAlYgcNz4Vigc6twPE_R_97xxz6Pmly/view?usp=drivesdk" TargetMode="External"/><Relationship Id="rId87" Type="http://schemas.openxmlformats.org/officeDocument/2006/relationships/hyperlink" Target="https://drive.google.com/file/d/1WXjmbQ0_ksp4Wj-rhDN_DeWQupDm47F9/view?usp=drivesdk" TargetMode="External"/><Relationship Id="rId110" Type="http://schemas.openxmlformats.org/officeDocument/2006/relationships/hyperlink" Target="https://drive.google.com/file/d/1WHoaUq9VTBLqnIIOw3bqaaMsQUhm3BmE/view?usp=drivesdk" TargetMode="External"/><Relationship Id="rId131" Type="http://schemas.openxmlformats.org/officeDocument/2006/relationships/hyperlink" Target="https://drive.google.com/file/d/1LYA3-pqbddwsD_ygl4eFSeEDCPuI84zR/view?usp=drivesdk" TargetMode="External"/><Relationship Id="rId152" Type="http://schemas.openxmlformats.org/officeDocument/2006/relationships/hyperlink" Target="https://drive.google.com/file/d/1E03hk9jQ1Z-xbCal1G4sFnnTrp9jlXme/view?usp=drivesdk" TargetMode="External"/><Relationship Id="rId173" Type="http://schemas.openxmlformats.org/officeDocument/2006/relationships/hyperlink" Target="https://drive.google.com/file/d/1wpLA9CvRpeHGrhHWddOESO4wflaZ8D2U/view?usp=drivesdk" TargetMode="External"/><Relationship Id="rId194" Type="http://schemas.openxmlformats.org/officeDocument/2006/relationships/hyperlink" Target="https://drive.google.com/file/d/1zoxQhR4ZR-CKWAaGwxrY0azr051IHGc1/view?usp=drivesdk" TargetMode="External"/><Relationship Id="rId208" Type="http://schemas.openxmlformats.org/officeDocument/2006/relationships/hyperlink" Target="https://drive.google.com/file/d/1lFUxuATxMTiM7Npey9_fXYZID0GPDHGX/view?usp=drivesdk" TargetMode="External"/><Relationship Id="rId229" Type="http://schemas.openxmlformats.org/officeDocument/2006/relationships/hyperlink" Target="https://drive.google.com/file/d/1y1Fl0XbOLxT4yUHhWsexwsfw78GCQ5YN/view?usp=drivesdk" TargetMode="External"/><Relationship Id="rId240" Type="http://schemas.openxmlformats.org/officeDocument/2006/relationships/hyperlink" Target="https://drive.google.com/file/d/1i9IVd9XNB6pB2QIXPQCLQsSjCF3i12i6/view?usp=drivesdk" TargetMode="External"/><Relationship Id="rId261" Type="http://schemas.openxmlformats.org/officeDocument/2006/relationships/hyperlink" Target="https://drive.google.com/file/d/1h5tEHXlw-YJ3mzADFHYvBZSQsvfR-Y6O/view?usp=drivesdk" TargetMode="External"/><Relationship Id="rId14" Type="http://schemas.openxmlformats.org/officeDocument/2006/relationships/hyperlink" Target="https://drive.google.com/file/d/1z_-reIGRBUVNJ-NIC21Ilv-e1PCexJ1R/view?usp=drivesdk" TargetMode="External"/><Relationship Id="rId35" Type="http://schemas.openxmlformats.org/officeDocument/2006/relationships/hyperlink" Target="https://drive.google.com/file/d/1t6lZJILs4UEhmekQHRl1BfI-9k9A1ECS/view?usp=drivesdk" TargetMode="External"/><Relationship Id="rId56" Type="http://schemas.openxmlformats.org/officeDocument/2006/relationships/hyperlink" Target="https://drive.google.com/file/d/1VREgYs6nONM-8Kh19Na-OTTZijgUOeHV/view?usp=drivesdk" TargetMode="External"/><Relationship Id="rId77" Type="http://schemas.openxmlformats.org/officeDocument/2006/relationships/hyperlink" Target="https://drive.google.com/file/d/1C_iC33vly0odIF8QCFmRsoHkeKx_ZYks/view?usp=drivesdk" TargetMode="External"/><Relationship Id="rId100" Type="http://schemas.openxmlformats.org/officeDocument/2006/relationships/hyperlink" Target="https://drive.google.com/file/d/13Qq6dkzJuVAjVbZRk8d6iVnsLU3zp6ju/view?usp=drivesdk" TargetMode="External"/><Relationship Id="rId282" Type="http://schemas.openxmlformats.org/officeDocument/2006/relationships/hyperlink" Target="https://drive.google.com/file/d/11ASGLnziMvWETt3n-CsgH6bpKUbMQ-ZT/view?usp=drivesdk" TargetMode="External"/><Relationship Id="rId8" Type="http://schemas.openxmlformats.org/officeDocument/2006/relationships/hyperlink" Target="https://drive.google.com/file/d/1g8eBKpSUYv17UOwPYLQ9lMEaGLMnmcGR/view?usp=drivesdk" TargetMode="External"/><Relationship Id="rId98" Type="http://schemas.openxmlformats.org/officeDocument/2006/relationships/hyperlink" Target="https://drive.google.com/file/d/1wwgBewevtUWlz6Vdw5VPVnsQoibm7nzX/view?usp=drivesdk" TargetMode="External"/><Relationship Id="rId121" Type="http://schemas.openxmlformats.org/officeDocument/2006/relationships/hyperlink" Target="https://drive.google.com/file/d/1jEzUPLC5enWuPc-PrNuyjngSYbnxZ3Tr/view?usp=drivesdk" TargetMode="External"/><Relationship Id="rId142" Type="http://schemas.openxmlformats.org/officeDocument/2006/relationships/hyperlink" Target="https://drive.google.com/file/d/1ob8iFRMAczVuw7TLhSku6oBDh9fnd26F/view?usp=drivesdk" TargetMode="External"/><Relationship Id="rId163" Type="http://schemas.openxmlformats.org/officeDocument/2006/relationships/hyperlink" Target="https://drive.google.com/file/d/1BJ4ECFUH8G1rS8MxNeCY5Du73-QxypJf/view?usp=drivesdk" TargetMode="External"/><Relationship Id="rId184" Type="http://schemas.openxmlformats.org/officeDocument/2006/relationships/hyperlink" Target="https://drive.google.com/file/d/1bKqPqFj1Zmya3um2ZxTa34NmZszqnm6b/view?usp=drivesdk" TargetMode="External"/><Relationship Id="rId219" Type="http://schemas.openxmlformats.org/officeDocument/2006/relationships/hyperlink" Target="https://drive.google.com/file/d/1Zy1CbNA7BHmG-Djuc1ToVR33YtwRRV0N/view?usp=drivesdk" TargetMode="External"/><Relationship Id="rId230" Type="http://schemas.openxmlformats.org/officeDocument/2006/relationships/hyperlink" Target="https://drive.google.com/file/d/1gRjZB8J38bpFwSXbcIsrwpwkd0mrg-Bv/view?usp=drivesdk" TargetMode="External"/><Relationship Id="rId251" Type="http://schemas.openxmlformats.org/officeDocument/2006/relationships/hyperlink" Target="https://drive.google.com/file/d/1EUwoASwU4vR-BBf1RFnxexyhbJ8rxVEy/view?usp=drivesdk" TargetMode="External"/><Relationship Id="rId25" Type="http://schemas.openxmlformats.org/officeDocument/2006/relationships/hyperlink" Target="https://drive.google.com/file/d/1ZAIqdPDXNnzMdMlovqqlq4qCtAUrYk91/view?usp=drivesdk" TargetMode="External"/><Relationship Id="rId46" Type="http://schemas.openxmlformats.org/officeDocument/2006/relationships/hyperlink" Target="https://drive.google.com/file/d/1wyDf5zjHNw5ueVGmljAGgeFRWV_FK_ke/view?usp=drivesdk" TargetMode="External"/><Relationship Id="rId67" Type="http://schemas.openxmlformats.org/officeDocument/2006/relationships/hyperlink" Target="https://drive.google.com/file/d/1OQAlYgcNz4Vigc6twPE_R_97xxz6Pmly/view?usp=drivesdk" TargetMode="External"/><Relationship Id="rId272" Type="http://schemas.openxmlformats.org/officeDocument/2006/relationships/hyperlink" Target="https://drive.google.com/file/d/1jy7XGsw-vmfO19HIlnImDQkJlGkqaCxF/view?usp=drivesdk" TargetMode="External"/><Relationship Id="rId293" Type="http://schemas.openxmlformats.org/officeDocument/2006/relationships/hyperlink" Target="https://drive.google.com/file/d/1yn7WtGAiOGG0_cUFPggF-Ch84jlpJN2m/view?usp=drivesdk" TargetMode="External"/><Relationship Id="rId307" Type="http://schemas.openxmlformats.org/officeDocument/2006/relationships/hyperlink" Target="https://drive.google.com/file/d/1vI3TWA3aVlkfptHiMgweEW5vCv_-attt/view?usp=drivesdk" TargetMode="External"/><Relationship Id="rId88" Type="http://schemas.openxmlformats.org/officeDocument/2006/relationships/hyperlink" Target="https://drive.google.com/file/d/1Cg9xlnxSPLoPds_gWZ3lpW5YnR8GSZZa/view?usp=drivesdk" TargetMode="External"/><Relationship Id="rId111" Type="http://schemas.openxmlformats.org/officeDocument/2006/relationships/hyperlink" Target="https://drive.google.com/file/d/1G_DTJqoyP-kQhp_E2pMW9DlYBqUiD1Cx/view?usp=drivesdk" TargetMode="External"/><Relationship Id="rId132" Type="http://schemas.openxmlformats.org/officeDocument/2006/relationships/hyperlink" Target="https://drive.google.com/file/d/1-d6e51wQsTfANVvBdjh4AGML4kcpqaQ0/view?usp=drivesdk" TargetMode="External"/><Relationship Id="rId153" Type="http://schemas.openxmlformats.org/officeDocument/2006/relationships/hyperlink" Target="https://drive.google.com/file/d/1zS0Tqf7sQ3z-XgCwKBzxPIVvDhMFD3Bp/view?usp=drivesdk" TargetMode="External"/><Relationship Id="rId174" Type="http://schemas.openxmlformats.org/officeDocument/2006/relationships/hyperlink" Target="https://drive.google.com/file/d/1kEH9zqIiunzQChyE1prQLc2uUpZ-VATp/view?usp=drivesdk" TargetMode="External"/><Relationship Id="rId195" Type="http://schemas.openxmlformats.org/officeDocument/2006/relationships/hyperlink" Target="https://drive.google.com/file/d/1duqh_amEKIR0MUXXoGmKGTGdDlW9Ka2J/view?usp=drivesdk" TargetMode="External"/><Relationship Id="rId209" Type="http://schemas.openxmlformats.org/officeDocument/2006/relationships/hyperlink" Target="https://drive.google.com/file/d/1lFUxuATxMTiM7Npey9_fXYZID0GPDHGX/view?usp=drivesdk" TargetMode="External"/><Relationship Id="rId220" Type="http://schemas.openxmlformats.org/officeDocument/2006/relationships/hyperlink" Target="https://drive.google.com/file/d/1Zy1CbNA7BHmG-Djuc1ToVR33YtwRRV0N/view?usp=drivesdk" TargetMode="External"/><Relationship Id="rId241" Type="http://schemas.openxmlformats.org/officeDocument/2006/relationships/hyperlink" Target="https://drive.google.com/file/d/1zlhq2y4B37pJyPXSmrGCjpewsB1uxOH9/view?usp=drivesdk" TargetMode="External"/><Relationship Id="rId15" Type="http://schemas.openxmlformats.org/officeDocument/2006/relationships/hyperlink" Target="https://drive.google.com/file/d/1K9IfNRunv3oixrhi3SXZSHxJ1MeFDVhN/view?usp=drivesdk" TargetMode="External"/><Relationship Id="rId36" Type="http://schemas.openxmlformats.org/officeDocument/2006/relationships/hyperlink" Target="https://drive.google.com/file/d/1Y5chbk4ZFGiNlHLgNFooNuPwNiHcHCRj/view?usp=drivesdk" TargetMode="External"/><Relationship Id="rId57" Type="http://schemas.openxmlformats.org/officeDocument/2006/relationships/hyperlink" Target="https://drive.google.com/file/d/1mRHjDFy7KcGE22N28v3HmYN8x7Dfpl27/view?usp=drivesdk" TargetMode="External"/><Relationship Id="rId262" Type="http://schemas.openxmlformats.org/officeDocument/2006/relationships/hyperlink" Target="https://drive.google.com/file/d/1SIyJd2MqAuOqGn7EUUJCJptmK_zsxRFw/view?usp=drivesdk" TargetMode="External"/><Relationship Id="rId283" Type="http://schemas.openxmlformats.org/officeDocument/2006/relationships/hyperlink" Target="https://drive.google.com/file/d/1kJnp1HjRZTdGncYSS_1em0vEKVBu0d1h/view?usp=drivesdk" TargetMode="External"/><Relationship Id="rId78" Type="http://schemas.openxmlformats.org/officeDocument/2006/relationships/hyperlink" Target="https://drive.google.com/file/d/1C_iC33vly0odIF8QCFmRsoHkeKx_ZYks/view?usp=drivesdk" TargetMode="External"/><Relationship Id="rId99" Type="http://schemas.openxmlformats.org/officeDocument/2006/relationships/hyperlink" Target="https://drive.google.com/file/d/1wwgBewevtUWlz6Vdw5VPVnsQoibm7nzX/view?usp=drivesdk" TargetMode="External"/><Relationship Id="rId101" Type="http://schemas.openxmlformats.org/officeDocument/2006/relationships/hyperlink" Target="https://drive.google.com/file/d/13Qq6dkzJuVAjVbZRk8d6iVnsLU3zp6ju/view?usp=drivesdk" TargetMode="External"/><Relationship Id="rId122" Type="http://schemas.openxmlformats.org/officeDocument/2006/relationships/hyperlink" Target="https://drive.google.com/file/d/1TolGJyM9Y9X-fy09mSJ5TAj1HqQNQ8nf/view?usp=drivesdk" TargetMode="External"/><Relationship Id="rId143" Type="http://schemas.openxmlformats.org/officeDocument/2006/relationships/hyperlink" Target="https://drive.google.com/file/d/1HcLGX70bjMFmdQu1fN04BTHU_BI3ZOFL/view?usp=drivesdk" TargetMode="External"/><Relationship Id="rId164" Type="http://schemas.openxmlformats.org/officeDocument/2006/relationships/hyperlink" Target="https://drive.google.com/file/d/1BJ4ECFUH8G1rS8MxNeCY5Du73-QxypJf/view?usp=drivesdk" TargetMode="External"/><Relationship Id="rId185" Type="http://schemas.openxmlformats.org/officeDocument/2006/relationships/hyperlink" Target="https://drive.google.com/file/d/1bKqPqFj1Zmya3um2ZxTa34NmZszqnm6b/view?usp=drivesdk" TargetMode="External"/><Relationship Id="rId9" Type="http://schemas.openxmlformats.org/officeDocument/2006/relationships/hyperlink" Target="https://drive.google.com/file/d/1g8eBKpSUYv17UOwPYLQ9lMEaGLMnmcGR/view?usp=drivesdk" TargetMode="External"/><Relationship Id="rId210" Type="http://schemas.openxmlformats.org/officeDocument/2006/relationships/hyperlink" Target="https://drive.google.com/file/d/1lFUxuATxMTiM7Npey9_fXYZID0GPDHGX/view?usp=drivesdk" TargetMode="External"/><Relationship Id="rId26" Type="http://schemas.openxmlformats.org/officeDocument/2006/relationships/hyperlink" Target="https://drive.google.com/file/d/1uTPqy5BYgWN3NVBjycljQIxkFqqSa0PB/view?usp=drivesdk" TargetMode="External"/><Relationship Id="rId231" Type="http://schemas.openxmlformats.org/officeDocument/2006/relationships/hyperlink" Target="https://drive.google.com/file/d/1U3fVggY4eQy8XFcSEQWsLee9kCiwaY6I/view?usp=drivesdk" TargetMode="External"/><Relationship Id="rId252" Type="http://schemas.openxmlformats.org/officeDocument/2006/relationships/hyperlink" Target="https://drive.google.com/file/d/1DEVOkfuvCr3i6mHmLFX53zM6nVtuHsg1/view?usp=drivesdk" TargetMode="External"/><Relationship Id="rId273" Type="http://schemas.openxmlformats.org/officeDocument/2006/relationships/hyperlink" Target="https://drive.google.com/file/d/1qlKIo6APVu5AtvOexpCHQ-RKmEa-2Otf/view?usp=drivesdk" TargetMode="External"/><Relationship Id="rId294" Type="http://schemas.openxmlformats.org/officeDocument/2006/relationships/hyperlink" Target="https://drive.google.com/file/d/1bdqYA5HDVlxqy2o2EuLmQO0KR_XsiPzq/view?usp=drivesdk" TargetMode="External"/><Relationship Id="rId308" Type="http://schemas.openxmlformats.org/officeDocument/2006/relationships/hyperlink" Target="https://drive.google.com/file/d/1y2pADzlLRelwsjkXz2eykdSZctXY4prL/view?usp=drivesdk" TargetMode="External"/><Relationship Id="rId47" Type="http://schemas.openxmlformats.org/officeDocument/2006/relationships/hyperlink" Target="https://drive.google.com/file/d/1wIEvce4aVgcfMVRS2LDsg_zGI14R2Gpc/view?usp=drivesdk" TargetMode="External"/><Relationship Id="rId68" Type="http://schemas.openxmlformats.org/officeDocument/2006/relationships/hyperlink" Target="https://drive.google.com/file/d/1uZQLqTnHRYAcUIPybyMwA8xfOlfLYXAL/view?usp=drivesdk" TargetMode="External"/><Relationship Id="rId89" Type="http://schemas.openxmlformats.org/officeDocument/2006/relationships/hyperlink" Target="https://drive.google.com/file/d/1Cg9xlnxSPLoPds_gWZ3lpW5YnR8GSZZa/view?usp=drivesdk" TargetMode="External"/><Relationship Id="rId112" Type="http://schemas.openxmlformats.org/officeDocument/2006/relationships/hyperlink" Target="https://drive.google.com/file/d/1hRgapJS3Oq15SNW6Ym-Up05e9dUt3ySc/view?usp=drivesdk" TargetMode="External"/><Relationship Id="rId133" Type="http://schemas.openxmlformats.org/officeDocument/2006/relationships/hyperlink" Target="https://drive.google.com/file/d/1-d6e51wQsTfANVvBdjh4AGML4kcpqaQ0/view?usp=drivesdk" TargetMode="External"/><Relationship Id="rId154" Type="http://schemas.openxmlformats.org/officeDocument/2006/relationships/hyperlink" Target="https://drive.google.com/file/d/1zS0Tqf7sQ3z-XgCwKBzxPIVvDhMFD3Bp/view?usp=drivesdk" TargetMode="External"/><Relationship Id="rId175" Type="http://schemas.openxmlformats.org/officeDocument/2006/relationships/hyperlink" Target="https://drive.google.com/file/d/1-p0bGuka3PGiaYMqLwPucYX_8I7TbURS/view?usp=drivesdk" TargetMode="External"/><Relationship Id="rId196" Type="http://schemas.openxmlformats.org/officeDocument/2006/relationships/hyperlink" Target="https://drive.google.com/file/d/1DG84fWLfjLqQDbR-66BKix6cy1fphz-V/view?usp=drivesdk" TargetMode="External"/><Relationship Id="rId200" Type="http://schemas.openxmlformats.org/officeDocument/2006/relationships/hyperlink" Target="https://drive.google.com/file/d/1REPk7II1hJFPOohqjZBZMcxwS80S1zII/view?usp=drivesdk" TargetMode="External"/><Relationship Id="rId16" Type="http://schemas.openxmlformats.org/officeDocument/2006/relationships/hyperlink" Target="https://drive.google.com/file/d/10XQLol4Bs_XhxiMmZNxRx2HKfZmxSeDw/view?usp=drivesdk" TargetMode="External"/><Relationship Id="rId221" Type="http://schemas.openxmlformats.org/officeDocument/2006/relationships/hyperlink" Target="https://drive.google.com/file/d/1Zy1CbNA7BHmG-Djuc1ToVR33YtwRRV0N/view?usp=drivesdk" TargetMode="External"/><Relationship Id="rId242" Type="http://schemas.openxmlformats.org/officeDocument/2006/relationships/hyperlink" Target="https://drive.google.com/file/d/1zlhq2y4B37pJyPXSmrGCjpewsB1uxOH9/view?usp=drivesdk" TargetMode="External"/><Relationship Id="rId263" Type="http://schemas.openxmlformats.org/officeDocument/2006/relationships/hyperlink" Target="https://drive.google.com/file/d/16skmBw2crrfzNQ0vZV5u04yT3DzQ7zrz/view?usp=drivesdk" TargetMode="External"/><Relationship Id="rId284" Type="http://schemas.openxmlformats.org/officeDocument/2006/relationships/hyperlink" Target="https://drive.google.com/file/d/1KTK1gbi2FqOwIu4yU2W-N4RcB4EVG8fY/view?usp=drivesdk" TargetMode="External"/><Relationship Id="rId37" Type="http://schemas.openxmlformats.org/officeDocument/2006/relationships/hyperlink" Target="https://drive.google.com/file/d/1AHetUbfAMBNpSqDzPElyMIxOiA7WWdvo/view?usp=drivesdk" TargetMode="External"/><Relationship Id="rId58" Type="http://schemas.openxmlformats.org/officeDocument/2006/relationships/hyperlink" Target="https://drive.google.com/file/d/1mRHjDFy7KcGE22N28v3HmYN8x7Dfpl27/view?usp=drivesdk" TargetMode="External"/><Relationship Id="rId79" Type="http://schemas.openxmlformats.org/officeDocument/2006/relationships/hyperlink" Target="https://drive.google.com/file/d/1nFUGkSqzzOUOlLt0qViECe_Pk2wC6f4L/view?usp=drivesdk" TargetMode="External"/><Relationship Id="rId102" Type="http://schemas.openxmlformats.org/officeDocument/2006/relationships/hyperlink" Target="https://drive.google.com/file/d/1M4d0YG5XSmItV0VOmIhaxeKn34ZLrWol/view?usp=drivesdk" TargetMode="External"/><Relationship Id="rId123" Type="http://schemas.openxmlformats.org/officeDocument/2006/relationships/hyperlink" Target="https://drive.google.com/file/d/1KUKTgUynB44ibe2dmApC8qM3PcAdtS5Y/view?usp=drivesdk" TargetMode="External"/><Relationship Id="rId144" Type="http://schemas.openxmlformats.org/officeDocument/2006/relationships/hyperlink" Target="https://drive.google.com/file/d/1Yx0Qd-wmT_eHr2b8MTA0X8zNE58yyjeP/view?usp=drivesdk" TargetMode="External"/><Relationship Id="rId90" Type="http://schemas.openxmlformats.org/officeDocument/2006/relationships/hyperlink" Target="https://drive.google.com/file/d/1djAQ1rbmEaTXLbWDnHrYVCBTfcNz1OtH/view?usp=drivesdk" TargetMode="External"/><Relationship Id="rId165" Type="http://schemas.openxmlformats.org/officeDocument/2006/relationships/hyperlink" Target="https://drive.google.com/file/d/1yVhRkyyWfrSypFXhljnnsxrfY5cGuA0t/view?usp=drivesdk" TargetMode="External"/><Relationship Id="rId186" Type="http://schemas.openxmlformats.org/officeDocument/2006/relationships/hyperlink" Target="https://drive.google.com/file/d/1bKqPqFj1Zmya3um2ZxTa34NmZszqnm6b/view?usp=drivesdk" TargetMode="External"/><Relationship Id="rId211" Type="http://schemas.openxmlformats.org/officeDocument/2006/relationships/hyperlink" Target="https://drive.google.com/file/d/1jX3-UtMyTe78HY1mX2Hh01fxl0qH61vI/view?usp=drivesdk" TargetMode="External"/><Relationship Id="rId232" Type="http://schemas.openxmlformats.org/officeDocument/2006/relationships/hyperlink" Target="https://drive.google.com/file/d/1U3fVggY4eQy8XFcSEQWsLee9kCiwaY6I/view?usp=drivesdk" TargetMode="External"/><Relationship Id="rId253" Type="http://schemas.openxmlformats.org/officeDocument/2006/relationships/hyperlink" Target="https://drive.google.com/file/d/1pfj1kWXN2IaXkIbuZ2kn4jwwYhfaMZqT/view?usp=drivesdk" TargetMode="External"/><Relationship Id="rId274" Type="http://schemas.openxmlformats.org/officeDocument/2006/relationships/hyperlink" Target="https://drive.google.com/file/d/1qlKIo6APVu5AtvOexpCHQ-RKmEa-2Otf/view?usp=drivesdk" TargetMode="External"/><Relationship Id="rId295" Type="http://schemas.openxmlformats.org/officeDocument/2006/relationships/hyperlink" Target="https://drive.google.com/file/d/16x5X2YF1W1jjw5vz9a42hWSySjoWuXZq/view?usp=drivesdk" TargetMode="External"/><Relationship Id="rId309" Type="http://schemas.openxmlformats.org/officeDocument/2006/relationships/hyperlink" Target="https://drive.google.com/file/d/1y2pADzlLRelwsjkXz2eykdSZctXY4prL/view?usp=drivesdk" TargetMode="External"/><Relationship Id="rId27" Type="http://schemas.openxmlformats.org/officeDocument/2006/relationships/hyperlink" Target="https://drive.google.com/file/d/1bf44Jw9yvK1vg9k1SvKXaRURUflhsv-B/view?usp=drivesdk" TargetMode="External"/><Relationship Id="rId48" Type="http://schemas.openxmlformats.org/officeDocument/2006/relationships/hyperlink" Target="https://drive.google.com/file/d/1xTMjNeddxEp_0ChtoXj1eGCN_c9AO_qi/view?usp=drivesdk" TargetMode="External"/><Relationship Id="rId69" Type="http://schemas.openxmlformats.org/officeDocument/2006/relationships/hyperlink" Target="https://drive.google.com/file/d/1HeyAQsh9lPEumu7S-xU8WsUyWP5phIFp/view?usp=drivesdk" TargetMode="External"/><Relationship Id="rId113" Type="http://schemas.openxmlformats.org/officeDocument/2006/relationships/hyperlink" Target="https://drive.google.com/file/d/1hRgapJS3Oq15SNW6Ym-Up05e9dUt3ySc/view?usp=drivesdk" TargetMode="External"/><Relationship Id="rId134" Type="http://schemas.openxmlformats.org/officeDocument/2006/relationships/hyperlink" Target="https://drive.google.com/file/d/1ukOyWAeAb32zBrpg3IDzW7ZGwgwzsnjA/view?usp=drivesdk" TargetMode="External"/><Relationship Id="rId80" Type="http://schemas.openxmlformats.org/officeDocument/2006/relationships/hyperlink" Target="https://drive.google.com/file/d/1PGFKNelGEJ34hYxv3_nDO9uAbxkijuiK/view?usp=drivesdk" TargetMode="External"/><Relationship Id="rId155" Type="http://schemas.openxmlformats.org/officeDocument/2006/relationships/hyperlink" Target="https://drive.google.com/file/d/10nka2-YCA0IWgPecAoU3B0WgWhYKe8yy/view?usp=drivesdk" TargetMode="External"/><Relationship Id="rId176" Type="http://schemas.openxmlformats.org/officeDocument/2006/relationships/hyperlink" Target="https://drive.google.com/file/d/1-p0bGuka3PGiaYMqLwPucYX_8I7TbURS/view?usp=drivesdk" TargetMode="External"/><Relationship Id="rId197" Type="http://schemas.openxmlformats.org/officeDocument/2006/relationships/hyperlink" Target="https://drive.google.com/file/d/1DG84fWLfjLqQDbR-66BKix6cy1fphz-V/view?usp=drivesdk" TargetMode="External"/><Relationship Id="rId201" Type="http://schemas.openxmlformats.org/officeDocument/2006/relationships/hyperlink" Target="https://drive.google.com/file/d/1REPk7II1hJFPOohqjZBZMcxwS80S1zII/view?usp=drivesdk" TargetMode="External"/><Relationship Id="rId222" Type="http://schemas.openxmlformats.org/officeDocument/2006/relationships/hyperlink" Target="https://drive.google.com/file/d/1Zy1CbNA7BHmG-Djuc1ToVR33YtwRRV0N/view?usp=drivesdk" TargetMode="External"/><Relationship Id="rId243" Type="http://schemas.openxmlformats.org/officeDocument/2006/relationships/hyperlink" Target="https://drive.google.com/file/d/1APdSqKabxHX7bnyUQalm0gh4hpc3hhWr/view?usp=drivesdk" TargetMode="External"/><Relationship Id="rId264" Type="http://schemas.openxmlformats.org/officeDocument/2006/relationships/hyperlink" Target="https://drive.google.com/file/d/1v3CRT1DN-dAXQs3INUvRwftIbf6iV3g1/view?usp=drivesdk" TargetMode="External"/><Relationship Id="rId285" Type="http://schemas.openxmlformats.org/officeDocument/2006/relationships/hyperlink" Target="https://drive.google.com/file/d/1Wsq18cHUiQiz9-LHFVTrOQHoMFik8sTt/view?usp=drivesdk" TargetMode="External"/><Relationship Id="rId17" Type="http://schemas.openxmlformats.org/officeDocument/2006/relationships/hyperlink" Target="https://drive.google.com/file/d/1Ed_iB45m7ofG7Jm1UNQj1jmTUJkw1Iyw/view?usp=drivesdk" TargetMode="External"/><Relationship Id="rId38" Type="http://schemas.openxmlformats.org/officeDocument/2006/relationships/hyperlink" Target="https://drive.google.com/file/d/1AHetUbfAMBNpSqDzPElyMIxOiA7WWdvo/view?usp=drivesdk" TargetMode="External"/><Relationship Id="rId59" Type="http://schemas.openxmlformats.org/officeDocument/2006/relationships/hyperlink" Target="https://drive.google.com/file/d/1qdeV3ay4JnstweFVX0cvlWRZIU0WMJNo/view?usp=drivesdk" TargetMode="External"/><Relationship Id="rId103" Type="http://schemas.openxmlformats.org/officeDocument/2006/relationships/hyperlink" Target="https://drive.google.com/file/d/1KvidWCnbMuwiFiLXxrmPKTNp7garHVa7/view?usp=drivesdk" TargetMode="External"/><Relationship Id="rId124" Type="http://schemas.openxmlformats.org/officeDocument/2006/relationships/hyperlink" Target="https://drive.google.com/file/d/1M9DALeySkhzeEN4P3IPBM-cJP__73vzw/view?usp=drivesdk" TargetMode="External"/><Relationship Id="rId310" Type="http://schemas.openxmlformats.org/officeDocument/2006/relationships/hyperlink" Target="https://drive.google.com/file/d/1JPregiRa_q74iEdoNVDd8rVKGFs-n8nq/view?usp=drivesdk" TargetMode="External"/><Relationship Id="rId70" Type="http://schemas.openxmlformats.org/officeDocument/2006/relationships/hyperlink" Target="https://drive.google.com/file/d/1HeyAQsh9lPEumu7S-xU8WsUyWP5phIFp/view?usp=drivesdk" TargetMode="External"/><Relationship Id="rId91" Type="http://schemas.openxmlformats.org/officeDocument/2006/relationships/hyperlink" Target="https://drive.google.com/file/d/1djAQ1rbmEaTXLbWDnHrYVCBTfcNz1OtH/view?usp=drivesdk" TargetMode="External"/><Relationship Id="rId145" Type="http://schemas.openxmlformats.org/officeDocument/2006/relationships/hyperlink" Target="https://drive.google.com/file/d/1Yx0Qd-wmT_eHr2b8MTA0X8zNE58yyjeP/view?usp=drivesdk" TargetMode="External"/><Relationship Id="rId166" Type="http://schemas.openxmlformats.org/officeDocument/2006/relationships/hyperlink" Target="https://drive.google.com/file/d/1yVhRkyyWfrSypFXhljnnsxrfY5cGuA0t/view?usp=drivesdk" TargetMode="External"/><Relationship Id="rId187" Type="http://schemas.openxmlformats.org/officeDocument/2006/relationships/hyperlink" Target="https://drive.google.com/file/d/1bKqPqFj1Zmya3um2ZxTa34NmZszqnm6b/view?usp=drivesdk" TargetMode="External"/><Relationship Id="rId1" Type="http://schemas.openxmlformats.org/officeDocument/2006/relationships/hyperlink" Target="https://drive.google.com/file/d/1ItJIsEqcnLcWL5PF_N8dRrgmnL40ZfuW/view?usp=drivesdk" TargetMode="External"/><Relationship Id="rId212" Type="http://schemas.openxmlformats.org/officeDocument/2006/relationships/hyperlink" Target="https://drive.google.com/file/d/1_Y9HoZ2i2CEQ6NmmEkYkioiKJ5EAXReH/view?usp=drivesdk" TargetMode="External"/><Relationship Id="rId233" Type="http://schemas.openxmlformats.org/officeDocument/2006/relationships/hyperlink" Target="https://drive.google.com/file/d/1rN9AM6pwa0OSLfJ1ZOce_ivy4pLVGBQq/view?usp=drivesdk" TargetMode="External"/><Relationship Id="rId254" Type="http://schemas.openxmlformats.org/officeDocument/2006/relationships/hyperlink" Target="https://drive.google.com/file/d/1pfj1kWXN2IaXkIbuZ2kn4jwwYhfaMZqT/view?usp=drivesdk" TargetMode="External"/><Relationship Id="rId28" Type="http://schemas.openxmlformats.org/officeDocument/2006/relationships/hyperlink" Target="https://drive.google.com/file/d/1O4pe7lRf6dwBHD1xHFv9oPWNjouVeZCA/view?usp=drivesdk" TargetMode="External"/><Relationship Id="rId49" Type="http://schemas.openxmlformats.org/officeDocument/2006/relationships/hyperlink" Target="https://drive.google.com/file/d/1xTMjNeddxEp_0ChtoXj1eGCN_c9AO_qi/view?usp=drivesdk" TargetMode="External"/><Relationship Id="rId114" Type="http://schemas.openxmlformats.org/officeDocument/2006/relationships/hyperlink" Target="https://drive.google.com/file/d/1TolGJyM9Y9X-fy09mSJ5TAj1HqQNQ8nf/view?usp=drivesdk" TargetMode="External"/><Relationship Id="rId275" Type="http://schemas.openxmlformats.org/officeDocument/2006/relationships/hyperlink" Target="https://drive.google.com/file/d/1QTOARDh_ylMU-YyvVv_8zCEVe6NsRnye/view?usp=drivesdk" TargetMode="External"/><Relationship Id="rId296" Type="http://schemas.openxmlformats.org/officeDocument/2006/relationships/hyperlink" Target="https://drive.google.com/file/d/1NNijuKjTsof2PAbefmrqA2ea8U4iOXfE/view?usp=drivesdk" TargetMode="External"/><Relationship Id="rId300" Type="http://schemas.openxmlformats.org/officeDocument/2006/relationships/hyperlink" Target="https://drive.google.com/file/d/19BoQr6axAKYCx4hqYUqaS-LvcmSIjjAl/view?usp=drivesdk" TargetMode="External"/><Relationship Id="rId60" Type="http://schemas.openxmlformats.org/officeDocument/2006/relationships/hyperlink" Target="https://drive.google.com/file/d/1llgXD0gIA_II9Z9I13RxoAfZE7JuTNyA/view?usp=drivesdk" TargetMode="External"/><Relationship Id="rId81" Type="http://schemas.openxmlformats.org/officeDocument/2006/relationships/hyperlink" Target="https://drive.google.com/file/d/1xa9_KLtNeEDQVcpgSoShV9ZqFFwrXzh4/view?usp=drivesdk" TargetMode="External"/><Relationship Id="rId135" Type="http://schemas.openxmlformats.org/officeDocument/2006/relationships/hyperlink" Target="https://drive.google.com/file/d/1DPw19TdxEW0jpW6zYA6ceOA4vNQf_A0p/view?usp=drivesdk" TargetMode="External"/><Relationship Id="rId156" Type="http://schemas.openxmlformats.org/officeDocument/2006/relationships/hyperlink" Target="https://drive.google.com/file/d/10nka2-YCA0IWgPecAoU3B0WgWhYKe8yy/view?usp=drivesdk" TargetMode="External"/><Relationship Id="rId177" Type="http://schemas.openxmlformats.org/officeDocument/2006/relationships/hyperlink" Target="https://drive.google.com/file/d/1T8WvYUCZyff4on7WtfOtW8VFqd1XGR-d/view?usp=drivesdk" TargetMode="External"/><Relationship Id="rId198" Type="http://schemas.openxmlformats.org/officeDocument/2006/relationships/hyperlink" Target="https://drive.google.com/file/d/1DG84fWLfjLqQDbR-66BKix6cy1fphz-V/view?usp=drivesdk" TargetMode="External"/><Relationship Id="rId202" Type="http://schemas.openxmlformats.org/officeDocument/2006/relationships/hyperlink" Target="https://drive.google.com/file/d/16JcSNHyTaOb4sNUTIOwoPYPzEyfmTcf0/view?usp=drivesdk" TargetMode="External"/><Relationship Id="rId223" Type="http://schemas.openxmlformats.org/officeDocument/2006/relationships/hyperlink" Target="https://drive.google.com/file/d/1Zy1CbNA7BHmG-Djuc1ToVR33YtwRRV0N/view?usp=drivesdk" TargetMode="External"/><Relationship Id="rId244" Type="http://schemas.openxmlformats.org/officeDocument/2006/relationships/hyperlink" Target="https://drive.google.com/file/d/1APdSqKabxHX7bnyUQalm0gh4hpc3hhWr/view?usp=drivesdk" TargetMode="External"/><Relationship Id="rId18" Type="http://schemas.openxmlformats.org/officeDocument/2006/relationships/hyperlink" Target="https://drive.google.com/file/d/1Ed_iB45m7ofG7Jm1UNQj1jmTUJkw1Iyw/view?usp=drivesdk" TargetMode="External"/><Relationship Id="rId39" Type="http://schemas.openxmlformats.org/officeDocument/2006/relationships/hyperlink" Target="https://drive.google.com/file/d/1AHetUbfAMBNpSqDzPElyMIxOiA7WWdvo/view?usp=drivesdk" TargetMode="External"/><Relationship Id="rId265" Type="http://schemas.openxmlformats.org/officeDocument/2006/relationships/hyperlink" Target="https://drive.google.com/file/d/1nHc_EDZkxsz2fteFcxzID7M2NdgiWr0p/view?usp=drivesdk" TargetMode="External"/><Relationship Id="rId286" Type="http://schemas.openxmlformats.org/officeDocument/2006/relationships/hyperlink" Target="https://drive.google.com/file/d/1KTK1gbi2FqOwIu4yU2W-N4RcB4EVG8fY/view?usp=drivesdk" TargetMode="External"/><Relationship Id="rId50" Type="http://schemas.openxmlformats.org/officeDocument/2006/relationships/hyperlink" Target="https://drive.google.com/file/d/1xTMjNeddxEp_0ChtoXj1eGCN_c9AO_qi/view?usp=drivesdk" TargetMode="External"/><Relationship Id="rId104" Type="http://schemas.openxmlformats.org/officeDocument/2006/relationships/hyperlink" Target="https://drive.google.com/file/d/1KvidWCnbMuwiFiLXxrmPKTNp7garHVa7/view?usp=drivesdk" TargetMode="External"/><Relationship Id="rId125" Type="http://schemas.openxmlformats.org/officeDocument/2006/relationships/hyperlink" Target="https://drive.google.com/file/d/1DLPTU1Aia2WCsx2C_9gGDG9Qof36pELo/view?usp=drivesdk" TargetMode="External"/><Relationship Id="rId146" Type="http://schemas.openxmlformats.org/officeDocument/2006/relationships/hyperlink" Target="https://drive.google.com/file/d/159APZgtV3JXzUKVZq1g18ypDCiV1taFa/view?usp=drivesdk" TargetMode="External"/><Relationship Id="rId167" Type="http://schemas.openxmlformats.org/officeDocument/2006/relationships/hyperlink" Target="https://drive.google.com/file/d/1Qia5xI5sQTuNbmaQSnid3DwDLsi26ghX/view?usp=drivesdk" TargetMode="External"/><Relationship Id="rId188" Type="http://schemas.openxmlformats.org/officeDocument/2006/relationships/hyperlink" Target="https://drive.google.com/file/d/1j-IebNaEAFQ1iFXUE_H5sML-oF1WJDx1/view?usp=drivesdk" TargetMode="External"/><Relationship Id="rId71" Type="http://schemas.openxmlformats.org/officeDocument/2006/relationships/hyperlink" Target="https://drive.google.com/file/d/1HeyAQsh9lPEumu7S-xU8WsUyWP5phIFp/view?usp=drivesdk" TargetMode="External"/><Relationship Id="rId92" Type="http://schemas.openxmlformats.org/officeDocument/2006/relationships/hyperlink" Target="https://drive.google.com/file/d/1djAQ1rbmEaTXLbWDnHrYVCBTfcNz1OtH/view?usp=drivesdk" TargetMode="External"/><Relationship Id="rId213" Type="http://schemas.openxmlformats.org/officeDocument/2006/relationships/hyperlink" Target="https://drive.google.com/file/d/1Q-aMP6kEg1GampM2CpT8tMfCF9p0BhnN/view?usp=drivesdk" TargetMode="External"/><Relationship Id="rId234" Type="http://schemas.openxmlformats.org/officeDocument/2006/relationships/hyperlink" Target="https://drive.google.com/file/d/1tUfa24z0QRPVzSYA-gNi40rpmpnQAC4v/view?usp=drivesdk" TargetMode="External"/><Relationship Id="rId2" Type="http://schemas.openxmlformats.org/officeDocument/2006/relationships/hyperlink" Target="https://drive.google.com/file/d/1cd31815Co3Kna8HFYDnSDHNaHc0RRz_q/view?usp=drivesdk" TargetMode="External"/><Relationship Id="rId29" Type="http://schemas.openxmlformats.org/officeDocument/2006/relationships/hyperlink" Target="https://drive.google.com/file/d/1Dt1r6qMmQY_FwhqOcbcrWpM8GdEF93Qv/view?usp=drivesdk" TargetMode="External"/><Relationship Id="rId255" Type="http://schemas.openxmlformats.org/officeDocument/2006/relationships/hyperlink" Target="https://drive.google.com/file/d/1pfj1kWXN2IaXkIbuZ2kn4jwwYhfaMZqT/view?usp=drivesdk" TargetMode="External"/><Relationship Id="rId276" Type="http://schemas.openxmlformats.org/officeDocument/2006/relationships/hyperlink" Target="https://drive.google.com/file/d/1e5y3X-VY-NvZzqDCL8RDo9o8bktwTrZZ/view?usp=drivesdk" TargetMode="External"/><Relationship Id="rId297" Type="http://schemas.openxmlformats.org/officeDocument/2006/relationships/hyperlink" Target="https://drive.google.com/file/d/1lqs0xpLnu3cVl9QrHG64VAWrux3MhYpl/view?usp=drivesdk" TargetMode="External"/><Relationship Id="rId40" Type="http://schemas.openxmlformats.org/officeDocument/2006/relationships/hyperlink" Target="https://drive.google.com/file/d/1AHetUbfAMBNpSqDzPElyMIxOiA7WWdvo/view?usp=drivesdk" TargetMode="External"/><Relationship Id="rId115" Type="http://schemas.openxmlformats.org/officeDocument/2006/relationships/hyperlink" Target="https://drive.google.com/file/d/1TolGJyM9Y9X-fy09mSJ5TAj1HqQNQ8nf/view?usp=drivesdk" TargetMode="External"/><Relationship Id="rId136" Type="http://schemas.openxmlformats.org/officeDocument/2006/relationships/hyperlink" Target="https://drive.google.com/file/d/1DPw19TdxEW0jpW6zYA6ceOA4vNQf_A0p/view?usp=drivesdk" TargetMode="External"/><Relationship Id="rId157" Type="http://schemas.openxmlformats.org/officeDocument/2006/relationships/hyperlink" Target="https://drive.google.com/file/d/1aqlvcLyIWZNYS2YuZctYwNbS7LPznpig/view?usp=drivesdk" TargetMode="External"/><Relationship Id="rId178" Type="http://schemas.openxmlformats.org/officeDocument/2006/relationships/hyperlink" Target="https://drive.google.com/file/d/150vR0wJ4toIE_Hij1S8zsYeiQhLdsfZa/view?usp=drivesdk" TargetMode="External"/><Relationship Id="rId301" Type="http://schemas.openxmlformats.org/officeDocument/2006/relationships/hyperlink" Target="https://drive.google.com/file/d/19BoQr6axAKYCx4hqYUqaS-LvcmSIjjAl/view?usp=drivesdk" TargetMode="External"/><Relationship Id="rId61" Type="http://schemas.openxmlformats.org/officeDocument/2006/relationships/hyperlink" Target="https://drive.google.com/file/d/1FC1OXKzex1HOM04T6jrTCqkIGPN8JDHJ/view?usp=drivesdk" TargetMode="External"/><Relationship Id="rId82" Type="http://schemas.openxmlformats.org/officeDocument/2006/relationships/hyperlink" Target="https://drive.google.com/file/d/1PGFKNelGEJ34hYxv3_nDO9uAbxkijuiK/view?usp=drivesdk" TargetMode="External"/><Relationship Id="rId199" Type="http://schemas.openxmlformats.org/officeDocument/2006/relationships/hyperlink" Target="https://drive.google.com/file/d/1DG84fWLfjLqQDbR-66BKix6cy1fphz-V/view?usp=drivesdk" TargetMode="External"/><Relationship Id="rId203" Type="http://schemas.openxmlformats.org/officeDocument/2006/relationships/hyperlink" Target="https://drive.google.com/file/d/16JcSNHyTaOb4sNUTIOwoPYPzEyfmTcf0/view?usp=drivesdk" TargetMode="External"/><Relationship Id="rId19" Type="http://schemas.openxmlformats.org/officeDocument/2006/relationships/hyperlink" Target="https://drive.google.com/file/d/1o0NIRXcBdJjII1ZlI70jmalTrbr28GkG/view?usp=drivesdk" TargetMode="External"/><Relationship Id="rId224" Type="http://schemas.openxmlformats.org/officeDocument/2006/relationships/hyperlink" Target="https://drive.google.com/file/d/1Zy1CbNA7BHmG-Djuc1ToVR33YtwRRV0N/view?usp=drivesdk" TargetMode="External"/><Relationship Id="rId245" Type="http://schemas.openxmlformats.org/officeDocument/2006/relationships/hyperlink" Target="https://drive.google.com/file/d/1APdSqKabxHX7bnyUQalm0gh4hpc3hhWr/view?usp=drivesdk" TargetMode="External"/><Relationship Id="rId266" Type="http://schemas.openxmlformats.org/officeDocument/2006/relationships/hyperlink" Target="https://drive.google.com/file/d/1_B6dMKTfEIf-qn5n8TknEfZ-U7uWsGyf/view?usp=drivesdk" TargetMode="External"/><Relationship Id="rId287" Type="http://schemas.openxmlformats.org/officeDocument/2006/relationships/hyperlink" Target="https://drive.google.com/file/d/1-Pg65xRUnIaDO8PDMWOi2FMrfe6VHPj9/view?usp=drivesdk" TargetMode="External"/><Relationship Id="rId30" Type="http://schemas.openxmlformats.org/officeDocument/2006/relationships/hyperlink" Target="https://drive.google.com/file/d/1Dt1r6qMmQY_FwhqOcbcrWpM8GdEF93Qv/view?usp=drivesdk" TargetMode="External"/><Relationship Id="rId105" Type="http://schemas.openxmlformats.org/officeDocument/2006/relationships/hyperlink" Target="https://drive.google.com/file/d/1KvidWCnbMuwiFiLXxrmPKTNp7garHVa7/view?usp=drivesdk" TargetMode="External"/><Relationship Id="rId126" Type="http://schemas.openxmlformats.org/officeDocument/2006/relationships/hyperlink" Target="https://drive.google.com/file/d/1DLPTU1Aia2WCsx2C_9gGDG9Qof36pELo/view?usp=drivesdk" TargetMode="External"/><Relationship Id="rId147" Type="http://schemas.openxmlformats.org/officeDocument/2006/relationships/hyperlink" Target="https://drive.google.com/file/d/159APZgtV3JXzUKVZq1g18ypDCiV1taFa/view?usp=drivesdk" TargetMode="External"/><Relationship Id="rId168" Type="http://schemas.openxmlformats.org/officeDocument/2006/relationships/hyperlink" Target="https://drive.google.com/file/d/1hhd_IVNRl9m7_kAJTqKOsOFwD3_WzZPj/view?usp=drivesdk" TargetMode="External"/><Relationship Id="rId51" Type="http://schemas.openxmlformats.org/officeDocument/2006/relationships/hyperlink" Target="https://drive.google.com/file/d/1iuhPg7M8gLEz98RFSGoqNE47ysOJOAu-/view?usp=drivesdk" TargetMode="External"/><Relationship Id="rId72" Type="http://schemas.openxmlformats.org/officeDocument/2006/relationships/hyperlink" Target="https://drive.google.com/file/d/1BSY-4UipYA1YUtXJr60E-td00qqTUrwu/view?usp=drivesdk" TargetMode="External"/><Relationship Id="rId93" Type="http://schemas.openxmlformats.org/officeDocument/2006/relationships/hyperlink" Target="https://drive.google.com/file/d/1djAQ1rbmEaTXLbWDnHrYVCBTfcNz1OtH/view?usp=drivesdk" TargetMode="External"/><Relationship Id="rId189" Type="http://schemas.openxmlformats.org/officeDocument/2006/relationships/hyperlink" Target="https://drive.google.com/file/d/1j-IebNaEAFQ1iFXUE_H5sML-oF1WJDx1/view?usp=drivesdk" TargetMode="External"/><Relationship Id="rId3" Type="http://schemas.openxmlformats.org/officeDocument/2006/relationships/hyperlink" Target="https://drive.google.com/file/d/1cd31815Co3Kna8HFYDnSDHNaHc0RRz_q/view?usp=drivesdk" TargetMode="External"/><Relationship Id="rId214" Type="http://schemas.openxmlformats.org/officeDocument/2006/relationships/hyperlink" Target="https://drive.google.com/file/d/1Q-aMP6kEg1GampM2CpT8tMfCF9p0BhnN/view?usp=drivesdk" TargetMode="External"/><Relationship Id="rId235" Type="http://schemas.openxmlformats.org/officeDocument/2006/relationships/hyperlink" Target="https://drive.google.com/file/d/1BpzOUYkcDcaVwEjHdhIP9t59aVhH4MM7/view?usp=drivesdk" TargetMode="External"/><Relationship Id="rId256" Type="http://schemas.openxmlformats.org/officeDocument/2006/relationships/hyperlink" Target="https://drive.google.com/file/d/1ngomK9K7dBiXbXsHhq-fmBtvz-kQAzMT/view?usp=drivesdk" TargetMode="External"/><Relationship Id="rId277" Type="http://schemas.openxmlformats.org/officeDocument/2006/relationships/hyperlink" Target="https://drive.google.com/file/d/1u7tM0ZbwZrBV3hfe_3zSw2a9ZHIh2MWW/view?usp=drivesdk" TargetMode="External"/><Relationship Id="rId298" Type="http://schemas.openxmlformats.org/officeDocument/2006/relationships/hyperlink" Target="https://drive.google.com/file/d/1pSnQbE2tuXWjh_O1b4R_qnn6etMiy4Ku/view?usp=drivesdk" TargetMode="External"/><Relationship Id="rId116" Type="http://schemas.openxmlformats.org/officeDocument/2006/relationships/hyperlink" Target="https://drive.google.com/file/d/1TolGJyM9Y9X-fy09mSJ5TAj1HqQNQ8nf/view?usp=drivesdk" TargetMode="External"/><Relationship Id="rId137" Type="http://schemas.openxmlformats.org/officeDocument/2006/relationships/hyperlink" Target="https://drive.google.com/file/d/1DPw19TdxEW0jpW6zYA6ceOA4vNQf_A0p/view?usp=drivesdk" TargetMode="External"/><Relationship Id="rId158" Type="http://schemas.openxmlformats.org/officeDocument/2006/relationships/hyperlink" Target="https://drive.google.com/file/d/15ZRTEiKZbC_d5NH03gMMC8-ye0aRYBdv/view?usp=drivesdk" TargetMode="External"/><Relationship Id="rId302" Type="http://schemas.openxmlformats.org/officeDocument/2006/relationships/hyperlink" Target="https://drive.google.com/file/d/1Cq6v0Mu5pm4vMmYFoJpyyJsuqCwAmSDw/view?usp=drivesdk" TargetMode="External"/><Relationship Id="rId20" Type="http://schemas.openxmlformats.org/officeDocument/2006/relationships/hyperlink" Target="https://drive.google.com/file/d/1o0NIRXcBdJjII1ZlI70jmalTrbr28GkG/view?usp=drivesdk" TargetMode="External"/><Relationship Id="rId41" Type="http://schemas.openxmlformats.org/officeDocument/2006/relationships/hyperlink" Target="https://drive.google.com/file/d/1wW91frznAE1E74J7OQIj9MzuJDCxPlap/view?usp=drivesdk" TargetMode="External"/><Relationship Id="rId62" Type="http://schemas.openxmlformats.org/officeDocument/2006/relationships/hyperlink" Target="https://drive.google.com/file/d/1FC1OXKzex1HOM04T6jrTCqkIGPN8JDHJ/view?usp=drivesdk" TargetMode="External"/><Relationship Id="rId83" Type="http://schemas.openxmlformats.org/officeDocument/2006/relationships/hyperlink" Target="https://drive.google.com/file/d/1xa9_KLtNeEDQVcpgSoShV9ZqFFwrXzh4/view?usp=drivesdk" TargetMode="External"/><Relationship Id="rId179" Type="http://schemas.openxmlformats.org/officeDocument/2006/relationships/hyperlink" Target="https://drive.google.com/file/d/1l5SbfAzd9xeKLFK6KjY11Ufkm5Am-SbM/view?usp=drivesdk" TargetMode="External"/><Relationship Id="rId190" Type="http://schemas.openxmlformats.org/officeDocument/2006/relationships/hyperlink" Target="https://drive.google.com/file/d/1j-IebNaEAFQ1iFXUE_H5sML-oF1WJDx1/view?usp=drivesdk" TargetMode="External"/><Relationship Id="rId204" Type="http://schemas.openxmlformats.org/officeDocument/2006/relationships/hyperlink" Target="https://drive.google.com/file/d/16JcSNHyTaOb4sNUTIOwoPYPzEyfmTcf0/view?usp=drivesdk" TargetMode="External"/><Relationship Id="rId225" Type="http://schemas.openxmlformats.org/officeDocument/2006/relationships/hyperlink" Target="https://drive.google.com/file/d/1YOHsR98OPQCm2VmCetC93Vg8MiUZo5qy/view?usp=drivesdk" TargetMode="External"/><Relationship Id="rId246" Type="http://schemas.openxmlformats.org/officeDocument/2006/relationships/hyperlink" Target="https://drive.google.com/file/d/1CchC095q9WGNqVQTjt1lRmnr6UBc3c2y/view?usp=drivesdk" TargetMode="External"/><Relationship Id="rId267" Type="http://schemas.openxmlformats.org/officeDocument/2006/relationships/hyperlink" Target="https://drive.google.com/file/d/1_B6dMKTfEIf-qn5n8TknEfZ-U7uWsGyf/view?usp=drivesdk" TargetMode="External"/><Relationship Id="rId288" Type="http://schemas.openxmlformats.org/officeDocument/2006/relationships/hyperlink" Target="https://drive.google.com/file/d/1Wsq18cHUiQiz9-LHFVTrOQHoMFik8sTt/view?usp=drivesdk" TargetMode="External"/><Relationship Id="rId106" Type="http://schemas.openxmlformats.org/officeDocument/2006/relationships/hyperlink" Target="https://drive.google.com/file/d/1bzrVwOVOzt5XP0lF2yzi5hSHADPHxjvs/view?usp=drivesdk" TargetMode="External"/><Relationship Id="rId127" Type="http://schemas.openxmlformats.org/officeDocument/2006/relationships/hyperlink" Target="https://drive.google.com/file/d/1DLPTU1Aia2WCsx2C_9gGDG9Qof36pELo/view?usp=drivesdk" TargetMode="External"/><Relationship Id="rId10" Type="http://schemas.openxmlformats.org/officeDocument/2006/relationships/hyperlink" Target="https://drive.google.com/file/d/1g8eBKpSUYv17UOwPYLQ9lMEaGLMnmcGR/view?usp=drivesdk" TargetMode="External"/><Relationship Id="rId31" Type="http://schemas.openxmlformats.org/officeDocument/2006/relationships/hyperlink" Target="https://drive.google.com/file/d/1PZ5FQmu9D65wWndIRmY6Ut0XDRQ5L49I/view?usp=drivesdk" TargetMode="External"/><Relationship Id="rId52" Type="http://schemas.openxmlformats.org/officeDocument/2006/relationships/hyperlink" Target="https://drive.google.com/file/d/1iuhPg7M8gLEz98RFSGoqNE47ysOJOAu-/view?usp=drivesdk" TargetMode="External"/><Relationship Id="rId73" Type="http://schemas.openxmlformats.org/officeDocument/2006/relationships/hyperlink" Target="https://drive.google.com/file/d/1tPY-ZhinsRnCvfrudmiBCBgkCfUyFsr9/view?usp=drivesdk" TargetMode="External"/><Relationship Id="rId94" Type="http://schemas.openxmlformats.org/officeDocument/2006/relationships/hyperlink" Target="https://drive.google.com/file/d/1djAQ1rbmEaTXLbWDnHrYVCBTfcNz1OtH/view?usp=drivesdk" TargetMode="External"/><Relationship Id="rId148" Type="http://schemas.openxmlformats.org/officeDocument/2006/relationships/hyperlink" Target="https://drive.google.com/file/d/159APZgtV3JXzUKVZq1g18ypDCiV1taFa/view?usp=drivesdk" TargetMode="External"/><Relationship Id="rId169" Type="http://schemas.openxmlformats.org/officeDocument/2006/relationships/hyperlink" Target="https://drive.google.com/file/d/1T6wnCq9tAypsVPmui0b_qEHvGDi-DhCt/view?usp=drivesdk" TargetMode="External"/><Relationship Id="rId4" Type="http://schemas.openxmlformats.org/officeDocument/2006/relationships/hyperlink" Target="https://drive.google.com/file/d/1dJSPAAC5Phi8LUAR1NowoL2kFyxdk1mQ/view?usp=drivesdk" TargetMode="External"/><Relationship Id="rId180" Type="http://schemas.openxmlformats.org/officeDocument/2006/relationships/hyperlink" Target="https://drive.google.com/file/d/1UECbthjHYi5vu2UFbLyRA18WpE4wuFfK/view?usp=drivesdk" TargetMode="External"/><Relationship Id="rId215" Type="http://schemas.openxmlformats.org/officeDocument/2006/relationships/hyperlink" Target="https://drive.google.com/file/d/1Q-aMP6kEg1GampM2CpT8tMfCF9p0BhnN/view?usp=drivesdk" TargetMode="External"/><Relationship Id="rId236" Type="http://schemas.openxmlformats.org/officeDocument/2006/relationships/hyperlink" Target="https://drive.google.com/file/d/1BpzOUYkcDcaVwEjHdhIP9t59aVhH4MM7/view?usp=drivesdk" TargetMode="External"/><Relationship Id="rId257" Type="http://schemas.openxmlformats.org/officeDocument/2006/relationships/hyperlink" Target="https://drive.google.com/file/d/1JK6buyhU_5qKzOw-IFBGPJTI7NlrWgMu/view?usp=drivesdk" TargetMode="External"/><Relationship Id="rId278" Type="http://schemas.openxmlformats.org/officeDocument/2006/relationships/hyperlink" Target="https://drive.google.com/file/d/1pi2RgZvotyFf-VZNQn8OPohFrVuFIjOu/view?usp=drivesdk" TargetMode="External"/><Relationship Id="rId303" Type="http://schemas.openxmlformats.org/officeDocument/2006/relationships/hyperlink" Target="https://drive.google.com/file/d/1Cq6v0Mu5pm4vMmYFoJpyyJsuqCwAmSDw/view?usp=drivesdk" TargetMode="External"/><Relationship Id="rId42" Type="http://schemas.openxmlformats.org/officeDocument/2006/relationships/hyperlink" Target="https://drive.google.com/file/d/1wyDf5zjHNw5ueVGmljAGgeFRWV_FK_ke/view?usp=drivesdk" TargetMode="External"/><Relationship Id="rId84" Type="http://schemas.openxmlformats.org/officeDocument/2006/relationships/hyperlink" Target="https://drive.google.com/file/d/1WXjmbQ0_ksp4Wj-rhDN_DeWQupDm47F9/view?usp=drivesdk" TargetMode="External"/><Relationship Id="rId138" Type="http://schemas.openxmlformats.org/officeDocument/2006/relationships/hyperlink" Target="https://drive.google.com/file/d/1DPw19TdxEW0jpW6zYA6ceOA4vNQf_A0p/view?usp=drivesdk" TargetMode="External"/><Relationship Id="rId191" Type="http://schemas.openxmlformats.org/officeDocument/2006/relationships/hyperlink" Target="https://drive.google.com/file/d/1cvcsSPLPILT_n-AayIqIYowHvF8IGBc7/view?usp=drivesdk" TargetMode="External"/><Relationship Id="rId205" Type="http://schemas.openxmlformats.org/officeDocument/2006/relationships/hyperlink" Target="https://drive.google.com/file/d/16JcSNHyTaOb4sNUTIOwoPYPzEyfmTcf0/view?usp=drivesdk" TargetMode="External"/><Relationship Id="rId247" Type="http://schemas.openxmlformats.org/officeDocument/2006/relationships/hyperlink" Target="https://drive.google.com/file/d/1CchC095q9WGNqVQTjt1lRmnr6UBc3c2y/view?usp=drivesdk" TargetMode="External"/><Relationship Id="rId107" Type="http://schemas.openxmlformats.org/officeDocument/2006/relationships/hyperlink" Target="https://drive.google.com/file/d/141jIDzyCrkfc7QGDnSUCPhRI0Mibrcvh/view?usp=drivesdk" TargetMode="External"/><Relationship Id="rId289" Type="http://schemas.openxmlformats.org/officeDocument/2006/relationships/hyperlink" Target="https://drive.google.com/file/d/1yn7WtGAiOGG0_cUFPggF-Ch84jlpJN2m/view?usp=drivesdk" TargetMode="External"/><Relationship Id="rId11" Type="http://schemas.openxmlformats.org/officeDocument/2006/relationships/hyperlink" Target="https://drive.google.com/file/d/1-CKUHxDEZu4cUZWrBNxBpUKqLbNsMHKM/view?usp=drivesdk" TargetMode="External"/><Relationship Id="rId53" Type="http://schemas.openxmlformats.org/officeDocument/2006/relationships/hyperlink" Target="https://drive.google.com/file/d/1wP8q8NBj2Mt5MAh0pS33aNiQGAXg5WdC/view?usp=drivesdk" TargetMode="External"/><Relationship Id="rId149" Type="http://schemas.openxmlformats.org/officeDocument/2006/relationships/hyperlink" Target="https://drive.google.com/file/d/1E03hk9jQ1Z-xbCal1G4sFnnTrp9jlXme/view?usp=drivesdk" TargetMode="External"/><Relationship Id="rId95" Type="http://schemas.openxmlformats.org/officeDocument/2006/relationships/hyperlink" Target="https://drive.google.com/file/d/1QkCexE_kDEtXuddO-TIi2f6LoNbRuRW2/view?usp=drivesdk" TargetMode="External"/><Relationship Id="rId160" Type="http://schemas.openxmlformats.org/officeDocument/2006/relationships/hyperlink" Target="https://drive.google.com/file/d/1fDA7TDpronmskYibwlNKoqmPo4aK4B4L/view?usp=drivesdk" TargetMode="External"/><Relationship Id="rId216" Type="http://schemas.openxmlformats.org/officeDocument/2006/relationships/hyperlink" Target="https://drive.google.com/file/d/1_GPjzkaglz9Y8vdUDE2ufes2JBK4QvNy/view?usp=drivesdk" TargetMode="External"/><Relationship Id="rId258" Type="http://schemas.openxmlformats.org/officeDocument/2006/relationships/hyperlink" Target="https://drive.google.com/file/d/1b9kAinZV5ij327ypHsc5EiZCq33pYSHa/view?usp=drivesdk" TargetMode="External"/><Relationship Id="rId22" Type="http://schemas.openxmlformats.org/officeDocument/2006/relationships/hyperlink" Target="https://drive.google.com/file/d/1d2I0BkWFYDxy-Rl1aVhJF5tycYaRj3HG/view?usp=drivesdk" TargetMode="External"/><Relationship Id="rId64" Type="http://schemas.openxmlformats.org/officeDocument/2006/relationships/hyperlink" Target="https://drive.google.com/file/d/1p8SQTCEpK3ao8RVlrfgRlpheA7tHaMf5/view?usp=drivesdk" TargetMode="External"/><Relationship Id="rId118" Type="http://schemas.openxmlformats.org/officeDocument/2006/relationships/hyperlink" Target="https://drive.google.com/file/d/1jEzUPLC5enWuPc-PrNuyjngSYbnxZ3Tr/view?usp=drivesdk" TargetMode="External"/><Relationship Id="rId171" Type="http://schemas.openxmlformats.org/officeDocument/2006/relationships/hyperlink" Target="https://drive.google.com/file/d/1wpLA9CvRpeHGrhHWddOESO4wflaZ8D2U/view?usp=drivesdk" TargetMode="External"/><Relationship Id="rId227" Type="http://schemas.openxmlformats.org/officeDocument/2006/relationships/hyperlink" Target="https://drive.google.com/file/d/1gwKKYqi3qQWZajdWSgIV9hGmQv5AmvY0/view?usp=drivesdk" TargetMode="External"/><Relationship Id="rId269" Type="http://schemas.openxmlformats.org/officeDocument/2006/relationships/hyperlink" Target="https://drive.google.com/file/d/13cYWgHyRtNzzNS7-Jya2HzipcUbd5HVc/view?usp=drivesdk" TargetMode="External"/><Relationship Id="rId33" Type="http://schemas.openxmlformats.org/officeDocument/2006/relationships/hyperlink" Target="https://drive.google.com/file/d/1ArQV2mvZagCksNO5-O_ETq0Zcyam12ei/view?usp=drivesdk" TargetMode="External"/><Relationship Id="rId129" Type="http://schemas.openxmlformats.org/officeDocument/2006/relationships/hyperlink" Target="https://drive.google.com/file/d/1ir0-j407vQHf13KZd3Z7_7ACPQ033I_d/view?usp=drivesdk" TargetMode="External"/><Relationship Id="rId280" Type="http://schemas.openxmlformats.org/officeDocument/2006/relationships/hyperlink" Target="https://drive.google.com/file/d/11ASGLnziMvWETt3n-CsgH6bpKUbMQ-ZT/view?usp=drivesdk" TargetMode="External"/><Relationship Id="rId75" Type="http://schemas.openxmlformats.org/officeDocument/2006/relationships/hyperlink" Target="https://drive.google.com/file/d/1Y57EVqxyJ35ETTKEan3HuzWBrPqIvw45/view?usp=drivesdk" TargetMode="External"/><Relationship Id="rId140" Type="http://schemas.openxmlformats.org/officeDocument/2006/relationships/hyperlink" Target="https://drive.google.com/file/d/17eIcXkWqmi1K1n6SZHn2Dc992bchqPT-/view?usp=drivesdk" TargetMode="External"/><Relationship Id="rId182" Type="http://schemas.openxmlformats.org/officeDocument/2006/relationships/hyperlink" Target="https://drive.google.com/file/d/1WIR5zsAcLbIwG2FlFQ9iB1t92uqiuIIB/view?usp=drivesdk" TargetMode="External"/><Relationship Id="rId6" Type="http://schemas.openxmlformats.org/officeDocument/2006/relationships/hyperlink" Target="https://drive.google.com/file/d/1vrT4SiI-XoA6l1D1tnIzUbURoVV0wYxn/view?usp=drivesdk" TargetMode="External"/><Relationship Id="rId238" Type="http://schemas.openxmlformats.org/officeDocument/2006/relationships/hyperlink" Target="https://drive.google.com/file/d/1i9IVd9XNB6pB2QIXPQCLQsSjCF3i12i6/view?usp=drivesdk" TargetMode="External"/><Relationship Id="rId291" Type="http://schemas.openxmlformats.org/officeDocument/2006/relationships/hyperlink" Target="https://drive.google.com/file/d/1yn7WtGAiOGG0_cUFPggF-Ch84jlpJN2m/view?usp=drivesdk" TargetMode="External"/><Relationship Id="rId305" Type="http://schemas.openxmlformats.org/officeDocument/2006/relationships/hyperlink" Target="https://drive.google.com/file/d/1hrKOzoSFdAMp_00xSpcpq7kzZjbjD3I9/view?usp=drives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7CFCF-897A-47E5-B1C9-57A62E13FAD5}">
  <dimension ref="A1:D7"/>
  <sheetViews>
    <sheetView tabSelected="1" workbookViewId="0">
      <selection activeCell="C1" sqref="C1"/>
    </sheetView>
  </sheetViews>
  <sheetFormatPr defaultRowHeight="14.5" x14ac:dyDescent="0.35"/>
  <cols>
    <col min="1" max="1" width="24.81640625" bestFit="1" customWidth="1"/>
    <col min="2" max="2" width="30.90625" bestFit="1" customWidth="1"/>
    <col min="3" max="3" width="11.6328125" bestFit="1" customWidth="1"/>
    <col min="4" max="4" width="12" bestFit="1" customWidth="1"/>
  </cols>
  <sheetData>
    <row r="1" spans="1:4" x14ac:dyDescent="0.35">
      <c r="A1" s="25" t="s">
        <v>2193</v>
      </c>
      <c r="B1" s="25" t="s">
        <v>2152</v>
      </c>
      <c r="C1" s="25" t="s">
        <v>2194</v>
      </c>
      <c r="D1" s="25" t="s">
        <v>2195</v>
      </c>
    </row>
    <row r="2" spans="1:4" s="26" customFormat="1" x14ac:dyDescent="0.35">
      <c r="A2" s="26">
        <v>172</v>
      </c>
      <c r="B2" s="26">
        <v>172</v>
      </c>
      <c r="C2" s="26">
        <f>B2-A2</f>
        <v>0</v>
      </c>
      <c r="D2" s="28">
        <f>ABS(C2)/A2</f>
        <v>0</v>
      </c>
    </row>
    <row r="3" spans="1:4" s="26" customFormat="1" x14ac:dyDescent="0.35"/>
    <row r="4" spans="1:4" s="26" customFormat="1" x14ac:dyDescent="0.35"/>
    <row r="5" spans="1:4" x14ac:dyDescent="0.35">
      <c r="A5" s="22" t="s">
        <v>2162</v>
      </c>
      <c r="B5" s="23" t="s">
        <v>2164</v>
      </c>
    </row>
    <row r="6" spans="1:4" x14ac:dyDescent="0.35">
      <c r="A6" s="24" t="s">
        <v>56</v>
      </c>
      <c r="B6" s="27">
        <v>3</v>
      </c>
    </row>
    <row r="7" spans="1:4" x14ac:dyDescent="0.35">
      <c r="A7" s="24" t="s">
        <v>2163</v>
      </c>
      <c r="B7" s="27">
        <v>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5568D-7681-4329-8D18-88CCF4989797}">
  <dimension ref="A1:AC311"/>
  <sheetViews>
    <sheetView workbookViewId="0">
      <selection activeCell="C2" sqref="C2"/>
    </sheetView>
  </sheetViews>
  <sheetFormatPr defaultRowHeight="14.5" x14ac:dyDescent="0.35"/>
  <cols>
    <col min="1" max="1" width="13.7265625" bestFit="1" customWidth="1"/>
    <col min="2" max="2" width="35.453125" bestFit="1" customWidth="1"/>
    <col min="4" max="4" width="15.54296875" bestFit="1" customWidth="1"/>
    <col min="5" max="5" width="10.08984375" bestFit="1" customWidth="1"/>
    <col min="7" max="7" width="10.08984375" bestFit="1" customWidth="1"/>
    <col min="8" max="8" width="20.54296875" bestFit="1" customWidth="1"/>
    <col min="9" max="9" width="66.08984375" bestFit="1" customWidth="1"/>
  </cols>
  <sheetData>
    <row r="1" spans="1:29" x14ac:dyDescent="0.35">
      <c r="A1" s="11" t="s">
        <v>1110</v>
      </c>
      <c r="B1" s="11" t="s">
        <v>1111</v>
      </c>
      <c r="C1" s="11" t="s">
        <v>1112</v>
      </c>
      <c r="D1" s="11" t="s">
        <v>34</v>
      </c>
      <c r="E1" s="11" t="s">
        <v>1113</v>
      </c>
      <c r="F1" s="11" t="s">
        <v>1114</v>
      </c>
      <c r="G1" s="11" t="s">
        <v>2</v>
      </c>
      <c r="H1" s="11" t="s">
        <v>9</v>
      </c>
      <c r="I1" s="11" t="s">
        <v>11</v>
      </c>
      <c r="J1" s="11" t="s">
        <v>1115</v>
      </c>
      <c r="K1" s="11" t="s">
        <v>1116</v>
      </c>
      <c r="L1" s="11" t="s">
        <v>1117</v>
      </c>
      <c r="M1" s="11" t="s">
        <v>1118</v>
      </c>
      <c r="N1" s="11" t="s">
        <v>1119</v>
      </c>
      <c r="O1" s="11" t="s">
        <v>1120</v>
      </c>
      <c r="P1" s="11" t="s">
        <v>1121</v>
      </c>
      <c r="Q1" s="11" t="s">
        <v>21</v>
      </c>
      <c r="R1" s="11" t="s">
        <v>22</v>
      </c>
      <c r="S1" s="11" t="s">
        <v>1122</v>
      </c>
      <c r="T1" s="12" t="s">
        <v>31</v>
      </c>
      <c r="U1" s="12" t="s">
        <v>1123</v>
      </c>
      <c r="V1" s="11" t="s">
        <v>1124</v>
      </c>
      <c r="W1" s="11" t="s">
        <v>1125</v>
      </c>
      <c r="X1" s="11" t="s">
        <v>1126</v>
      </c>
      <c r="Y1" s="11" t="s">
        <v>1127</v>
      </c>
      <c r="Z1" s="11" t="s">
        <v>1128</v>
      </c>
      <c r="AA1" s="11" t="s">
        <v>1129</v>
      </c>
      <c r="AB1" s="11" t="s">
        <v>1130</v>
      </c>
    </row>
    <row r="2" spans="1:29" x14ac:dyDescent="0.35">
      <c r="A2" s="15">
        <v>1</v>
      </c>
      <c r="B2" s="15" t="s">
        <v>1131</v>
      </c>
      <c r="C2" s="16" t="s">
        <v>1132</v>
      </c>
      <c r="D2" s="15" t="s">
        <v>78</v>
      </c>
      <c r="E2" s="13">
        <v>45994</v>
      </c>
      <c r="F2" s="15" t="s">
        <v>1133</v>
      </c>
      <c r="G2" s="13">
        <v>45994</v>
      </c>
      <c r="H2" s="15" t="s">
        <v>56</v>
      </c>
      <c r="I2" s="15" t="s">
        <v>1134</v>
      </c>
      <c r="J2" s="15"/>
      <c r="K2" s="15" t="s">
        <v>1135</v>
      </c>
      <c r="L2" s="15" t="s">
        <v>1135</v>
      </c>
      <c r="M2" s="15" t="s">
        <v>1136</v>
      </c>
      <c r="N2" s="15" t="s">
        <v>1135</v>
      </c>
      <c r="O2" s="15" t="s">
        <v>1137</v>
      </c>
      <c r="P2" s="15"/>
      <c r="Q2" s="15"/>
      <c r="R2" s="15">
        <v>35184078</v>
      </c>
      <c r="S2" s="15">
        <v>1</v>
      </c>
      <c r="T2" s="17">
        <v>38933.129999999997</v>
      </c>
      <c r="U2" s="17">
        <f t="shared" ref="U2:U65" si="0">T2*S2</f>
        <v>38933.129999999997</v>
      </c>
      <c r="V2" s="15" t="s">
        <v>1138</v>
      </c>
      <c r="W2" s="15" t="s">
        <v>1138</v>
      </c>
      <c r="X2" s="15" t="s">
        <v>1138</v>
      </c>
      <c r="Y2" s="15" t="s">
        <v>1135</v>
      </c>
      <c r="Z2" s="15" t="s">
        <v>1139</v>
      </c>
      <c r="AA2" s="15" t="s">
        <v>2153</v>
      </c>
      <c r="AB2" s="13">
        <v>46073</v>
      </c>
      <c r="AC2" s="14"/>
    </row>
    <row r="3" spans="1:29" x14ac:dyDescent="0.35">
      <c r="A3" s="15">
        <v>2</v>
      </c>
      <c r="B3" s="15" t="s">
        <v>1140</v>
      </c>
      <c r="C3" s="16" t="s">
        <v>1141</v>
      </c>
      <c r="D3" s="15" t="s">
        <v>92</v>
      </c>
      <c r="E3" s="13">
        <v>45994</v>
      </c>
      <c r="F3" s="15" t="s">
        <v>1142</v>
      </c>
      <c r="G3" s="13">
        <v>45994</v>
      </c>
      <c r="H3" s="15" t="s">
        <v>56</v>
      </c>
      <c r="I3" s="18" t="s">
        <v>1134</v>
      </c>
      <c r="J3" s="15"/>
      <c r="K3" s="15" t="s">
        <v>1135</v>
      </c>
      <c r="L3" s="15" t="s">
        <v>1135</v>
      </c>
      <c r="M3" s="15" t="s">
        <v>1143</v>
      </c>
      <c r="N3" s="15" t="s">
        <v>1135</v>
      </c>
      <c r="O3" s="15" t="s">
        <v>86</v>
      </c>
      <c r="P3" s="15"/>
      <c r="Q3" s="15"/>
      <c r="R3" s="15">
        <v>35373905</v>
      </c>
      <c r="S3" s="15">
        <v>1</v>
      </c>
      <c r="T3" s="17">
        <v>6920</v>
      </c>
      <c r="U3" s="17">
        <f t="shared" si="0"/>
        <v>6920</v>
      </c>
      <c r="V3" s="15" t="s">
        <v>1138</v>
      </c>
      <c r="W3" s="15" t="s">
        <v>1138</v>
      </c>
      <c r="X3" s="15" t="s">
        <v>1138</v>
      </c>
      <c r="Y3" s="15" t="s">
        <v>1135</v>
      </c>
      <c r="Z3" s="15" t="s">
        <v>1139</v>
      </c>
      <c r="AA3" s="15" t="s">
        <v>2153</v>
      </c>
      <c r="AB3" s="13">
        <v>46073</v>
      </c>
      <c r="AC3" s="14"/>
    </row>
    <row r="4" spans="1:29" x14ac:dyDescent="0.35">
      <c r="A4" s="15">
        <v>3</v>
      </c>
      <c r="B4" s="15" t="s">
        <v>1140</v>
      </c>
      <c r="C4" s="16" t="s">
        <v>1141</v>
      </c>
      <c r="D4" s="15" t="s">
        <v>92</v>
      </c>
      <c r="E4" s="13">
        <v>45994</v>
      </c>
      <c r="F4" s="15" t="s">
        <v>1142</v>
      </c>
      <c r="G4" s="13">
        <v>45994</v>
      </c>
      <c r="H4" s="15" t="s">
        <v>56</v>
      </c>
      <c r="I4" s="18" t="s">
        <v>1134</v>
      </c>
      <c r="J4" s="15"/>
      <c r="K4" s="15" t="s">
        <v>1135</v>
      </c>
      <c r="L4" s="15" t="s">
        <v>1135</v>
      </c>
      <c r="M4" s="18" t="s">
        <v>1144</v>
      </c>
      <c r="N4" s="15" t="s">
        <v>1135</v>
      </c>
      <c r="O4" s="15" t="s">
        <v>1145</v>
      </c>
      <c r="P4" s="15"/>
      <c r="Q4" s="15"/>
      <c r="R4" s="15">
        <v>36580753</v>
      </c>
      <c r="S4" s="15">
        <v>1</v>
      </c>
      <c r="T4" s="17">
        <v>6920</v>
      </c>
      <c r="U4" s="17">
        <f t="shared" si="0"/>
        <v>6920</v>
      </c>
      <c r="V4" s="15" t="s">
        <v>1138</v>
      </c>
      <c r="W4" s="15" t="s">
        <v>1138</v>
      </c>
      <c r="X4" s="15" t="s">
        <v>1138</v>
      </c>
      <c r="Y4" s="15" t="s">
        <v>1135</v>
      </c>
      <c r="Z4" s="15" t="s">
        <v>1139</v>
      </c>
      <c r="AA4" s="15" t="s">
        <v>2153</v>
      </c>
      <c r="AB4" s="13">
        <v>46073</v>
      </c>
      <c r="AC4" s="14"/>
    </row>
    <row r="5" spans="1:29" x14ac:dyDescent="0.35">
      <c r="A5" s="15">
        <v>4</v>
      </c>
      <c r="B5" s="15" t="s">
        <v>1146</v>
      </c>
      <c r="C5" s="16" t="s">
        <v>1147</v>
      </c>
      <c r="D5" s="15" t="s">
        <v>108</v>
      </c>
      <c r="E5" s="13">
        <v>45995</v>
      </c>
      <c r="F5" s="15" t="s">
        <v>1148</v>
      </c>
      <c r="G5" s="13">
        <v>45995</v>
      </c>
      <c r="H5" s="15" t="s">
        <v>56</v>
      </c>
      <c r="I5" s="18" t="s">
        <v>1134</v>
      </c>
      <c r="J5" s="15"/>
      <c r="K5" s="15" t="s">
        <v>1135</v>
      </c>
      <c r="L5" s="15" t="s">
        <v>1135</v>
      </c>
      <c r="M5" s="18" t="s">
        <v>1149</v>
      </c>
      <c r="N5" s="18" t="s">
        <v>1150</v>
      </c>
      <c r="O5" s="15" t="s">
        <v>86</v>
      </c>
      <c r="P5" s="15"/>
      <c r="Q5" s="15"/>
      <c r="R5" s="15">
        <v>34593692</v>
      </c>
      <c r="S5" s="15">
        <v>1</v>
      </c>
      <c r="T5" s="17">
        <v>6920</v>
      </c>
      <c r="U5" s="17">
        <f t="shared" si="0"/>
        <v>6920</v>
      </c>
      <c r="V5" s="15" t="s">
        <v>1138</v>
      </c>
      <c r="W5" s="15" t="s">
        <v>1138</v>
      </c>
      <c r="X5" s="15" t="s">
        <v>1138</v>
      </c>
      <c r="Y5" s="15" t="s">
        <v>1135</v>
      </c>
      <c r="Z5" s="15" t="s">
        <v>1139</v>
      </c>
      <c r="AA5" s="15" t="s">
        <v>2153</v>
      </c>
      <c r="AB5" s="13">
        <v>46073</v>
      </c>
      <c r="AC5" s="14"/>
    </row>
    <row r="6" spans="1:29" x14ac:dyDescent="0.35">
      <c r="A6" s="15">
        <v>5</v>
      </c>
      <c r="B6" s="15" t="s">
        <v>1146</v>
      </c>
      <c r="C6" s="16" t="s">
        <v>1147</v>
      </c>
      <c r="D6" s="15" t="s">
        <v>108</v>
      </c>
      <c r="E6" s="13">
        <v>45995</v>
      </c>
      <c r="F6" s="15" t="s">
        <v>1148</v>
      </c>
      <c r="G6" s="13">
        <v>45995</v>
      </c>
      <c r="H6" s="15" t="s">
        <v>56</v>
      </c>
      <c r="I6" s="18" t="s">
        <v>1134</v>
      </c>
      <c r="J6" s="15"/>
      <c r="K6" s="15" t="s">
        <v>1135</v>
      </c>
      <c r="L6" s="15" t="s">
        <v>1135</v>
      </c>
      <c r="M6" s="18" t="s">
        <v>1149</v>
      </c>
      <c r="N6" s="18" t="s">
        <v>1150</v>
      </c>
      <c r="O6" s="15" t="s">
        <v>103</v>
      </c>
      <c r="P6" s="15"/>
      <c r="Q6" s="15"/>
      <c r="R6" s="15">
        <v>32661470</v>
      </c>
      <c r="S6" s="15">
        <v>1</v>
      </c>
      <c r="T6" s="17">
        <v>3571</v>
      </c>
      <c r="U6" s="17">
        <f t="shared" si="0"/>
        <v>3571</v>
      </c>
      <c r="V6" s="15" t="s">
        <v>1138</v>
      </c>
      <c r="W6" s="15" t="s">
        <v>1138</v>
      </c>
      <c r="X6" s="15" t="s">
        <v>1138</v>
      </c>
      <c r="Y6" s="15" t="s">
        <v>1135</v>
      </c>
      <c r="Z6" s="15" t="s">
        <v>1139</v>
      </c>
      <c r="AA6" s="15" t="s">
        <v>2153</v>
      </c>
      <c r="AB6" s="13">
        <v>46073</v>
      </c>
      <c r="AC6" s="14"/>
    </row>
    <row r="7" spans="1:29" x14ac:dyDescent="0.35">
      <c r="A7" s="15">
        <v>6</v>
      </c>
      <c r="B7" s="15" t="s">
        <v>1151</v>
      </c>
      <c r="C7" s="16" t="s">
        <v>1152</v>
      </c>
      <c r="D7" s="15" t="s">
        <v>119</v>
      </c>
      <c r="E7" s="13">
        <v>45995</v>
      </c>
      <c r="F7" s="15" t="s">
        <v>1153</v>
      </c>
      <c r="G7" s="13">
        <v>45995</v>
      </c>
      <c r="H7" s="15" t="s">
        <v>56</v>
      </c>
      <c r="I7" s="15" t="s">
        <v>1134</v>
      </c>
      <c r="J7" s="15"/>
      <c r="K7" s="15" t="s">
        <v>1135</v>
      </c>
      <c r="L7" s="15" t="s">
        <v>1135</v>
      </c>
      <c r="M7" s="18" t="s">
        <v>1154</v>
      </c>
      <c r="N7" s="18" t="s">
        <v>1155</v>
      </c>
      <c r="O7" s="15" t="s">
        <v>1156</v>
      </c>
      <c r="P7" s="15"/>
      <c r="Q7" s="15"/>
      <c r="R7" s="15">
        <v>36737531</v>
      </c>
      <c r="S7" s="15">
        <v>1</v>
      </c>
      <c r="T7" s="17">
        <v>6920</v>
      </c>
      <c r="U7" s="17">
        <f t="shared" si="0"/>
        <v>6920</v>
      </c>
      <c r="V7" s="15" t="s">
        <v>1138</v>
      </c>
      <c r="W7" s="15" t="s">
        <v>1138</v>
      </c>
      <c r="X7" s="15" t="s">
        <v>1138</v>
      </c>
      <c r="Y7" s="15" t="s">
        <v>1135</v>
      </c>
      <c r="Z7" s="15" t="s">
        <v>1139</v>
      </c>
      <c r="AA7" s="15" t="s">
        <v>2153</v>
      </c>
      <c r="AB7" s="13">
        <v>46073</v>
      </c>
      <c r="AC7" s="14"/>
    </row>
    <row r="8" spans="1:29" x14ac:dyDescent="0.35">
      <c r="A8" s="15">
        <v>7</v>
      </c>
      <c r="B8" s="15" t="s">
        <v>1157</v>
      </c>
      <c r="C8" s="16" t="s">
        <v>1158</v>
      </c>
      <c r="D8" s="15" t="s">
        <v>125</v>
      </c>
      <c r="E8" s="13">
        <v>45995</v>
      </c>
      <c r="F8" s="15" t="s">
        <v>1159</v>
      </c>
      <c r="G8" s="13">
        <v>45995</v>
      </c>
      <c r="H8" s="15" t="s">
        <v>56</v>
      </c>
      <c r="I8" s="15" t="s">
        <v>1134</v>
      </c>
      <c r="J8" s="15"/>
      <c r="K8" s="15" t="s">
        <v>1135</v>
      </c>
      <c r="L8" s="15" t="s">
        <v>1135</v>
      </c>
      <c r="M8" s="18" t="s">
        <v>1160</v>
      </c>
      <c r="N8" s="18" t="s">
        <v>1161</v>
      </c>
      <c r="O8" s="15" t="s">
        <v>123</v>
      </c>
      <c r="P8" s="15"/>
      <c r="Q8" s="15"/>
      <c r="R8" s="15">
        <v>36580732</v>
      </c>
      <c r="S8" s="15">
        <v>1</v>
      </c>
      <c r="T8" s="17">
        <v>6920</v>
      </c>
      <c r="U8" s="17">
        <f t="shared" si="0"/>
        <v>6920</v>
      </c>
      <c r="V8" s="15" t="s">
        <v>1138</v>
      </c>
      <c r="W8" s="15" t="s">
        <v>1138</v>
      </c>
      <c r="X8" s="15" t="s">
        <v>1138</v>
      </c>
      <c r="Y8" s="15" t="s">
        <v>1135</v>
      </c>
      <c r="Z8" s="15" t="s">
        <v>1139</v>
      </c>
      <c r="AA8" s="15" t="s">
        <v>2153</v>
      </c>
      <c r="AB8" s="13">
        <v>46073</v>
      </c>
      <c r="AC8" s="14"/>
    </row>
    <row r="9" spans="1:29" x14ac:dyDescent="0.35">
      <c r="A9" s="15">
        <v>8</v>
      </c>
      <c r="B9" s="15" t="s">
        <v>1162</v>
      </c>
      <c r="C9" s="16" t="s">
        <v>1163</v>
      </c>
      <c r="D9" s="15" t="s">
        <v>135</v>
      </c>
      <c r="E9" s="13">
        <v>45995</v>
      </c>
      <c r="F9" s="15" t="s">
        <v>1164</v>
      </c>
      <c r="G9" s="13">
        <v>45995</v>
      </c>
      <c r="H9" s="15" t="s">
        <v>56</v>
      </c>
      <c r="I9" s="15" t="s">
        <v>1134</v>
      </c>
      <c r="J9" s="15"/>
      <c r="K9" s="15" t="s">
        <v>1135</v>
      </c>
      <c r="L9" s="15" t="s">
        <v>1135</v>
      </c>
      <c r="M9" s="15" t="s">
        <v>1165</v>
      </c>
      <c r="N9" s="15" t="s">
        <v>1135</v>
      </c>
      <c r="O9" s="15" t="s">
        <v>1145</v>
      </c>
      <c r="P9" s="15"/>
      <c r="Q9" s="15"/>
      <c r="R9" s="15">
        <v>35167121</v>
      </c>
      <c r="S9" s="15">
        <v>1</v>
      </c>
      <c r="T9" s="17">
        <v>6920</v>
      </c>
      <c r="U9" s="17">
        <f t="shared" si="0"/>
        <v>6920</v>
      </c>
      <c r="V9" s="15" t="s">
        <v>1138</v>
      </c>
      <c r="W9" s="15" t="s">
        <v>1138</v>
      </c>
      <c r="X9" s="15" t="s">
        <v>1138</v>
      </c>
      <c r="Y9" s="15" t="s">
        <v>1135</v>
      </c>
      <c r="Z9" s="15" t="s">
        <v>1139</v>
      </c>
      <c r="AA9" s="15" t="s">
        <v>2153</v>
      </c>
      <c r="AB9" s="13">
        <v>46073</v>
      </c>
      <c r="AC9" s="14"/>
    </row>
    <row r="10" spans="1:29" x14ac:dyDescent="0.35">
      <c r="A10" s="15">
        <v>9</v>
      </c>
      <c r="B10" s="15" t="s">
        <v>1162</v>
      </c>
      <c r="C10" s="16" t="s">
        <v>1163</v>
      </c>
      <c r="D10" s="15" t="s">
        <v>135</v>
      </c>
      <c r="E10" s="13">
        <v>45995</v>
      </c>
      <c r="F10" s="15" t="s">
        <v>1164</v>
      </c>
      <c r="G10" s="13">
        <v>45995</v>
      </c>
      <c r="H10" s="15" t="s">
        <v>56</v>
      </c>
      <c r="I10" s="15" t="s">
        <v>1134</v>
      </c>
      <c r="J10" s="15"/>
      <c r="K10" s="15" t="s">
        <v>1135</v>
      </c>
      <c r="L10" s="15" t="s">
        <v>1135</v>
      </c>
      <c r="M10" s="18" t="s">
        <v>1166</v>
      </c>
      <c r="N10" s="15" t="s">
        <v>1135</v>
      </c>
      <c r="O10" s="15" t="s">
        <v>1167</v>
      </c>
      <c r="P10" s="15"/>
      <c r="Q10" s="15"/>
      <c r="R10" s="15">
        <v>35997738</v>
      </c>
      <c r="S10" s="15">
        <v>1</v>
      </c>
      <c r="T10" s="17">
        <v>19500</v>
      </c>
      <c r="U10" s="17">
        <f t="shared" si="0"/>
        <v>19500</v>
      </c>
      <c r="V10" s="15" t="s">
        <v>1138</v>
      </c>
      <c r="W10" s="15" t="s">
        <v>1138</v>
      </c>
      <c r="X10" s="15" t="s">
        <v>1138</v>
      </c>
      <c r="Y10" s="15" t="s">
        <v>1135</v>
      </c>
      <c r="Z10" s="15" t="s">
        <v>1139</v>
      </c>
      <c r="AA10" s="15" t="s">
        <v>2153</v>
      </c>
      <c r="AB10" s="13">
        <v>46073</v>
      </c>
      <c r="AC10" s="14"/>
    </row>
    <row r="11" spans="1:29" x14ac:dyDescent="0.35">
      <c r="A11" s="15">
        <v>10</v>
      </c>
      <c r="B11" s="15" t="s">
        <v>1162</v>
      </c>
      <c r="C11" s="16" t="s">
        <v>1163</v>
      </c>
      <c r="D11" s="15" t="s">
        <v>135</v>
      </c>
      <c r="E11" s="13">
        <v>45995</v>
      </c>
      <c r="F11" s="15" t="s">
        <v>1164</v>
      </c>
      <c r="G11" s="13">
        <v>45995</v>
      </c>
      <c r="H11" s="15" t="s">
        <v>56</v>
      </c>
      <c r="I11" s="15" t="s">
        <v>1134</v>
      </c>
      <c r="J11" s="15"/>
      <c r="K11" s="15" t="s">
        <v>1135</v>
      </c>
      <c r="L11" s="15" t="s">
        <v>1135</v>
      </c>
      <c r="M11" s="18" t="s">
        <v>1168</v>
      </c>
      <c r="N11" s="15" t="s">
        <v>1135</v>
      </c>
      <c r="O11" s="15" t="s">
        <v>1169</v>
      </c>
      <c r="P11" s="15"/>
      <c r="Q11" s="15"/>
      <c r="R11" s="15">
        <v>35629487</v>
      </c>
      <c r="S11" s="15">
        <v>1</v>
      </c>
      <c r="T11" s="17">
        <v>19500</v>
      </c>
      <c r="U11" s="17">
        <f t="shared" si="0"/>
        <v>19500</v>
      </c>
      <c r="V11" s="15" t="s">
        <v>1138</v>
      </c>
      <c r="W11" s="15" t="s">
        <v>1138</v>
      </c>
      <c r="X11" s="15" t="s">
        <v>1138</v>
      </c>
      <c r="Y11" s="15" t="s">
        <v>1135</v>
      </c>
      <c r="Z11" s="15" t="s">
        <v>1139</v>
      </c>
      <c r="AA11" s="15" t="s">
        <v>2153</v>
      </c>
      <c r="AB11" s="13">
        <v>46073</v>
      </c>
      <c r="AC11" s="14"/>
    </row>
    <row r="12" spans="1:29" x14ac:dyDescent="0.35">
      <c r="A12" s="15">
        <v>11</v>
      </c>
      <c r="B12" s="15" t="s">
        <v>1170</v>
      </c>
      <c r="C12" s="16" t="s">
        <v>1171</v>
      </c>
      <c r="D12" s="15" t="s">
        <v>150</v>
      </c>
      <c r="E12" s="13">
        <v>45995</v>
      </c>
      <c r="F12" s="15" t="s">
        <v>1172</v>
      </c>
      <c r="G12" s="13">
        <v>45995</v>
      </c>
      <c r="H12" s="15" t="s">
        <v>56</v>
      </c>
      <c r="I12" s="15" t="s">
        <v>1134</v>
      </c>
      <c r="J12" s="15"/>
      <c r="K12" s="15" t="s">
        <v>1135</v>
      </c>
      <c r="L12" s="15" t="s">
        <v>1135</v>
      </c>
      <c r="M12" s="15" t="s">
        <v>1173</v>
      </c>
      <c r="N12" s="15" t="s">
        <v>1135</v>
      </c>
      <c r="O12" s="15" t="s">
        <v>147</v>
      </c>
      <c r="P12" s="15"/>
      <c r="Q12" s="15"/>
      <c r="R12" s="15">
        <v>35232362</v>
      </c>
      <c r="S12" s="15">
        <v>1</v>
      </c>
      <c r="T12" s="17">
        <v>3572</v>
      </c>
      <c r="U12" s="17">
        <f t="shared" si="0"/>
        <v>3572</v>
      </c>
      <c r="V12" s="15" t="s">
        <v>1138</v>
      </c>
      <c r="W12" s="15" t="s">
        <v>1138</v>
      </c>
      <c r="X12" s="15" t="s">
        <v>1138</v>
      </c>
      <c r="Y12" s="15" t="s">
        <v>1135</v>
      </c>
      <c r="Z12" s="15" t="s">
        <v>1139</v>
      </c>
      <c r="AA12" s="15" t="s">
        <v>2153</v>
      </c>
      <c r="AB12" s="13">
        <v>46073</v>
      </c>
      <c r="AC12" s="14"/>
    </row>
    <row r="13" spans="1:29" x14ac:dyDescent="0.35">
      <c r="A13" s="15">
        <v>12</v>
      </c>
      <c r="B13" s="15" t="s">
        <v>1170</v>
      </c>
      <c r="C13" s="16" t="s">
        <v>1171</v>
      </c>
      <c r="D13" s="15" t="s">
        <v>150</v>
      </c>
      <c r="E13" s="13">
        <v>45995</v>
      </c>
      <c r="F13" s="15" t="s">
        <v>1172</v>
      </c>
      <c r="G13" s="13">
        <v>45995</v>
      </c>
      <c r="H13" s="15" t="s">
        <v>56</v>
      </c>
      <c r="I13" s="15" t="s">
        <v>1134</v>
      </c>
      <c r="J13" s="15"/>
      <c r="K13" s="15" t="s">
        <v>1135</v>
      </c>
      <c r="L13" s="15" t="s">
        <v>1135</v>
      </c>
      <c r="M13" s="18" t="s">
        <v>1174</v>
      </c>
      <c r="N13" s="15" t="s">
        <v>1135</v>
      </c>
      <c r="O13" s="15" t="s">
        <v>1175</v>
      </c>
      <c r="P13" s="15"/>
      <c r="Q13" s="15"/>
      <c r="R13" s="15">
        <v>35409874</v>
      </c>
      <c r="S13" s="15">
        <v>1</v>
      </c>
      <c r="T13" s="17">
        <v>38933.129999999997</v>
      </c>
      <c r="U13" s="17">
        <f t="shared" si="0"/>
        <v>38933.129999999997</v>
      </c>
      <c r="V13" s="15" t="s">
        <v>1138</v>
      </c>
      <c r="W13" s="15" t="s">
        <v>1138</v>
      </c>
      <c r="X13" s="15" t="s">
        <v>1138</v>
      </c>
      <c r="Y13" s="15" t="s">
        <v>1135</v>
      </c>
      <c r="Z13" s="15" t="s">
        <v>1139</v>
      </c>
      <c r="AA13" s="15" t="s">
        <v>2153</v>
      </c>
      <c r="AB13" s="13">
        <v>46073</v>
      </c>
      <c r="AC13" s="14"/>
    </row>
    <row r="14" spans="1:29" x14ac:dyDescent="0.35">
      <c r="A14" s="15">
        <v>13</v>
      </c>
      <c r="B14" s="15" t="s">
        <v>1170</v>
      </c>
      <c r="C14" s="16" t="s">
        <v>1171</v>
      </c>
      <c r="D14" s="15" t="s">
        <v>150</v>
      </c>
      <c r="E14" s="13">
        <v>45995</v>
      </c>
      <c r="F14" s="15" t="s">
        <v>1172</v>
      </c>
      <c r="G14" s="13">
        <v>45995</v>
      </c>
      <c r="H14" s="15" t="s">
        <v>56</v>
      </c>
      <c r="I14" s="15" t="s">
        <v>1134</v>
      </c>
      <c r="J14" s="15"/>
      <c r="K14" s="15" t="s">
        <v>1135</v>
      </c>
      <c r="L14" s="15" t="s">
        <v>1135</v>
      </c>
      <c r="M14" s="18" t="s">
        <v>1176</v>
      </c>
      <c r="N14" s="15" t="s">
        <v>1135</v>
      </c>
      <c r="O14" s="15" t="s">
        <v>1177</v>
      </c>
      <c r="P14" s="15"/>
      <c r="Q14" s="15"/>
      <c r="R14" s="15">
        <v>36580760</v>
      </c>
      <c r="S14" s="15">
        <v>1</v>
      </c>
      <c r="T14" s="17">
        <v>6920</v>
      </c>
      <c r="U14" s="17">
        <f t="shared" si="0"/>
        <v>6920</v>
      </c>
      <c r="V14" s="15" t="s">
        <v>1138</v>
      </c>
      <c r="W14" s="15" t="s">
        <v>1138</v>
      </c>
      <c r="X14" s="15" t="s">
        <v>1138</v>
      </c>
      <c r="Y14" s="15" t="s">
        <v>1135</v>
      </c>
      <c r="Z14" s="15" t="s">
        <v>1139</v>
      </c>
      <c r="AA14" s="15" t="s">
        <v>2153</v>
      </c>
      <c r="AB14" s="13">
        <v>46073</v>
      </c>
      <c r="AC14" s="14"/>
    </row>
    <row r="15" spans="1:29" x14ac:dyDescent="0.35">
      <c r="A15" s="15">
        <v>14</v>
      </c>
      <c r="B15" s="15" t="s">
        <v>1178</v>
      </c>
      <c r="C15" s="16" t="s">
        <v>1179</v>
      </c>
      <c r="D15" s="15" t="s">
        <v>164</v>
      </c>
      <c r="E15" s="13">
        <v>45996</v>
      </c>
      <c r="F15" s="15" t="s">
        <v>1180</v>
      </c>
      <c r="G15" s="13">
        <v>45996</v>
      </c>
      <c r="H15" s="15" t="s">
        <v>56</v>
      </c>
      <c r="I15" s="18" t="s">
        <v>1134</v>
      </c>
      <c r="J15" s="15"/>
      <c r="K15" s="15" t="s">
        <v>1135</v>
      </c>
      <c r="L15" s="15" t="s">
        <v>1135</v>
      </c>
      <c r="M15" s="18" t="s">
        <v>1181</v>
      </c>
      <c r="N15" s="18" t="s">
        <v>1182</v>
      </c>
      <c r="O15" s="15" t="s">
        <v>1145</v>
      </c>
      <c r="P15" s="15"/>
      <c r="Q15" s="15"/>
      <c r="R15" s="15">
        <v>36871732</v>
      </c>
      <c r="S15" s="15">
        <v>1</v>
      </c>
      <c r="T15" s="17">
        <v>6920</v>
      </c>
      <c r="U15" s="17">
        <f t="shared" si="0"/>
        <v>6920</v>
      </c>
      <c r="V15" s="15" t="s">
        <v>1138</v>
      </c>
      <c r="W15" s="15" t="s">
        <v>1138</v>
      </c>
      <c r="X15" s="15" t="s">
        <v>1138</v>
      </c>
      <c r="Y15" s="15" t="s">
        <v>1135</v>
      </c>
      <c r="Z15" s="15" t="s">
        <v>1139</v>
      </c>
      <c r="AA15" s="15" t="s">
        <v>2153</v>
      </c>
      <c r="AB15" s="13">
        <v>46073</v>
      </c>
      <c r="AC15" s="14"/>
    </row>
    <row r="16" spans="1:29" x14ac:dyDescent="0.35">
      <c r="A16" s="15">
        <v>15</v>
      </c>
      <c r="B16" s="15" t="s">
        <v>1183</v>
      </c>
      <c r="C16" s="16" t="s">
        <v>1184</v>
      </c>
      <c r="D16" s="15" t="s">
        <v>172</v>
      </c>
      <c r="E16" s="13">
        <v>45996</v>
      </c>
      <c r="F16" s="15" t="s">
        <v>1185</v>
      </c>
      <c r="G16" s="13">
        <v>45996</v>
      </c>
      <c r="H16" s="15" t="s">
        <v>56</v>
      </c>
      <c r="I16" s="15" t="s">
        <v>1134</v>
      </c>
      <c r="J16" s="15"/>
      <c r="K16" s="15" t="s">
        <v>1135</v>
      </c>
      <c r="L16" s="15" t="s">
        <v>1135</v>
      </c>
      <c r="M16" s="18" t="s">
        <v>1186</v>
      </c>
      <c r="N16" s="18" t="s">
        <v>1187</v>
      </c>
      <c r="O16" s="15" t="s">
        <v>169</v>
      </c>
      <c r="P16" s="15"/>
      <c r="Q16" s="15"/>
      <c r="R16" s="15">
        <v>37000428</v>
      </c>
      <c r="S16" s="15">
        <v>1</v>
      </c>
      <c r="T16" s="17">
        <v>3571</v>
      </c>
      <c r="U16" s="17">
        <f t="shared" si="0"/>
        <v>3571</v>
      </c>
      <c r="V16" s="15" t="s">
        <v>1138</v>
      </c>
      <c r="W16" s="15" t="s">
        <v>1138</v>
      </c>
      <c r="X16" s="15" t="s">
        <v>1138</v>
      </c>
      <c r="Y16" s="15" t="s">
        <v>1135</v>
      </c>
      <c r="Z16" s="15" t="s">
        <v>1139</v>
      </c>
      <c r="AA16" s="15" t="s">
        <v>2153</v>
      </c>
      <c r="AB16" s="13">
        <v>46073</v>
      </c>
      <c r="AC16" s="14"/>
    </row>
    <row r="17" spans="1:29" x14ac:dyDescent="0.35">
      <c r="A17" s="15">
        <v>16</v>
      </c>
      <c r="B17" s="15" t="s">
        <v>1188</v>
      </c>
      <c r="C17" s="16" t="s">
        <v>1189</v>
      </c>
      <c r="D17" s="15" t="s">
        <v>194</v>
      </c>
      <c r="E17" s="13">
        <v>46000</v>
      </c>
      <c r="F17" s="15" t="s">
        <v>1190</v>
      </c>
      <c r="G17" s="13">
        <v>46000</v>
      </c>
      <c r="H17" s="15" t="s">
        <v>56</v>
      </c>
      <c r="I17" s="18" t="s">
        <v>1134</v>
      </c>
      <c r="J17" s="15"/>
      <c r="K17" s="15" t="s">
        <v>1135</v>
      </c>
      <c r="L17" s="15" t="s">
        <v>1135</v>
      </c>
      <c r="M17" s="18" t="s">
        <v>1191</v>
      </c>
      <c r="N17" s="15" t="s">
        <v>1135</v>
      </c>
      <c r="O17" s="15" t="s">
        <v>169</v>
      </c>
      <c r="P17" s="15"/>
      <c r="Q17" s="15"/>
      <c r="R17" s="15">
        <v>37035209</v>
      </c>
      <c r="S17" s="15">
        <v>1</v>
      </c>
      <c r="T17" s="17">
        <v>3571</v>
      </c>
      <c r="U17" s="17">
        <f t="shared" si="0"/>
        <v>3571</v>
      </c>
      <c r="V17" s="15" t="s">
        <v>1138</v>
      </c>
      <c r="W17" s="15" t="s">
        <v>1138</v>
      </c>
      <c r="X17" s="15" t="s">
        <v>1138</v>
      </c>
      <c r="Y17" s="15" t="s">
        <v>1135</v>
      </c>
      <c r="Z17" s="15" t="s">
        <v>1139</v>
      </c>
      <c r="AA17" s="15" t="s">
        <v>2153</v>
      </c>
      <c r="AB17" s="13">
        <v>46073</v>
      </c>
      <c r="AC17" s="14"/>
    </row>
    <row r="18" spans="1:29" x14ac:dyDescent="0.35">
      <c r="A18" s="15">
        <v>17</v>
      </c>
      <c r="B18" s="15" t="s">
        <v>1192</v>
      </c>
      <c r="C18" s="16" t="s">
        <v>1193</v>
      </c>
      <c r="D18" s="15" t="s">
        <v>196</v>
      </c>
      <c r="E18" s="13">
        <v>46000</v>
      </c>
      <c r="F18" s="15" t="s">
        <v>1194</v>
      </c>
      <c r="G18" s="13">
        <v>46000</v>
      </c>
      <c r="H18" s="15" t="s">
        <v>56</v>
      </c>
      <c r="I18" s="18" t="s">
        <v>1134</v>
      </c>
      <c r="J18" s="15"/>
      <c r="K18" s="15" t="s">
        <v>1135</v>
      </c>
      <c r="L18" s="15" t="s">
        <v>1135</v>
      </c>
      <c r="M18" s="18" t="s">
        <v>1195</v>
      </c>
      <c r="N18" s="18" t="s">
        <v>1196</v>
      </c>
      <c r="O18" s="15" t="s">
        <v>169</v>
      </c>
      <c r="P18" s="15"/>
      <c r="Q18" s="15"/>
      <c r="R18" s="15">
        <v>37000428</v>
      </c>
      <c r="S18" s="15">
        <v>1</v>
      </c>
      <c r="T18" s="17">
        <v>3571</v>
      </c>
      <c r="U18" s="17">
        <f t="shared" si="0"/>
        <v>3571</v>
      </c>
      <c r="V18" s="15" t="s">
        <v>1138</v>
      </c>
      <c r="W18" s="15" t="s">
        <v>1138</v>
      </c>
      <c r="X18" s="15" t="s">
        <v>1138</v>
      </c>
      <c r="Y18" s="15" t="s">
        <v>1135</v>
      </c>
      <c r="Z18" s="15" t="s">
        <v>1139</v>
      </c>
      <c r="AA18" s="15" t="s">
        <v>2153</v>
      </c>
      <c r="AB18" s="13">
        <v>46073</v>
      </c>
      <c r="AC18" s="14"/>
    </row>
    <row r="19" spans="1:29" x14ac:dyDescent="0.35">
      <c r="A19" s="15">
        <v>18</v>
      </c>
      <c r="B19" s="15" t="s">
        <v>1192</v>
      </c>
      <c r="C19" s="16" t="s">
        <v>1193</v>
      </c>
      <c r="D19" s="15" t="s">
        <v>196</v>
      </c>
      <c r="E19" s="13">
        <v>46000</v>
      </c>
      <c r="F19" s="15" t="s">
        <v>1194</v>
      </c>
      <c r="G19" s="13">
        <v>46000</v>
      </c>
      <c r="H19" s="15" t="s">
        <v>56</v>
      </c>
      <c r="I19" s="18" t="s">
        <v>1134</v>
      </c>
      <c r="J19" s="15"/>
      <c r="K19" s="15" t="s">
        <v>1135</v>
      </c>
      <c r="L19" s="15" t="s">
        <v>1135</v>
      </c>
      <c r="M19" s="18" t="s">
        <v>1197</v>
      </c>
      <c r="N19" s="18" t="s">
        <v>1196</v>
      </c>
      <c r="O19" s="15" t="s">
        <v>1198</v>
      </c>
      <c r="P19" s="15"/>
      <c r="Q19" s="15"/>
      <c r="R19" s="15">
        <v>34116886</v>
      </c>
      <c r="S19" s="15">
        <v>1</v>
      </c>
      <c r="T19" s="17">
        <v>38933.129999999997</v>
      </c>
      <c r="U19" s="17">
        <f t="shared" si="0"/>
        <v>38933.129999999997</v>
      </c>
      <c r="V19" s="15" t="s">
        <v>1138</v>
      </c>
      <c r="W19" s="15" t="s">
        <v>1138</v>
      </c>
      <c r="X19" s="15" t="s">
        <v>1138</v>
      </c>
      <c r="Y19" s="15" t="s">
        <v>1135</v>
      </c>
      <c r="Z19" s="15" t="s">
        <v>1139</v>
      </c>
      <c r="AA19" s="15" t="s">
        <v>2153</v>
      </c>
      <c r="AB19" s="13">
        <v>46073</v>
      </c>
      <c r="AC19" s="14"/>
    </row>
    <row r="20" spans="1:29" x14ac:dyDescent="0.35">
      <c r="A20" s="15">
        <v>19</v>
      </c>
      <c r="B20" s="15" t="s">
        <v>1199</v>
      </c>
      <c r="C20" s="16" t="s">
        <v>1200</v>
      </c>
      <c r="D20" s="15" t="s">
        <v>204</v>
      </c>
      <c r="E20" s="13">
        <v>46000</v>
      </c>
      <c r="F20" s="15" t="s">
        <v>1201</v>
      </c>
      <c r="G20" s="13">
        <v>46000</v>
      </c>
      <c r="H20" s="15" t="s">
        <v>56</v>
      </c>
      <c r="I20" s="18" t="s">
        <v>1134</v>
      </c>
      <c r="J20" s="15"/>
      <c r="K20" s="15" t="s">
        <v>1135</v>
      </c>
      <c r="L20" s="15" t="s">
        <v>1135</v>
      </c>
      <c r="M20" s="18" t="s">
        <v>1202</v>
      </c>
      <c r="N20" s="18" t="s">
        <v>1203</v>
      </c>
      <c r="O20" s="15" t="s">
        <v>1204</v>
      </c>
      <c r="P20" s="15"/>
      <c r="Q20" s="15"/>
      <c r="R20" s="15">
        <v>36422597</v>
      </c>
      <c r="S20" s="15">
        <v>1</v>
      </c>
      <c r="T20" s="17">
        <v>38933.129999999997</v>
      </c>
      <c r="U20" s="17">
        <f t="shared" si="0"/>
        <v>38933.129999999997</v>
      </c>
      <c r="V20" s="15" t="s">
        <v>1138</v>
      </c>
      <c r="W20" s="15" t="s">
        <v>1138</v>
      </c>
      <c r="X20" s="15" t="s">
        <v>1138</v>
      </c>
      <c r="Y20" s="15" t="s">
        <v>1135</v>
      </c>
      <c r="Z20" s="15" t="s">
        <v>1139</v>
      </c>
      <c r="AA20" s="15" t="s">
        <v>2153</v>
      </c>
      <c r="AB20" s="13">
        <v>46073</v>
      </c>
      <c r="AC20" s="14"/>
    </row>
    <row r="21" spans="1:29" x14ac:dyDescent="0.35">
      <c r="A21" s="15">
        <v>20</v>
      </c>
      <c r="B21" s="15" t="s">
        <v>1199</v>
      </c>
      <c r="C21" s="16" t="s">
        <v>1200</v>
      </c>
      <c r="D21" s="15" t="s">
        <v>204</v>
      </c>
      <c r="E21" s="13">
        <v>46000</v>
      </c>
      <c r="F21" s="15" t="s">
        <v>1201</v>
      </c>
      <c r="G21" s="13">
        <v>46000</v>
      </c>
      <c r="H21" s="15" t="s">
        <v>56</v>
      </c>
      <c r="I21" s="18" t="s">
        <v>1134</v>
      </c>
      <c r="J21" s="15"/>
      <c r="K21" s="15" t="s">
        <v>1135</v>
      </c>
      <c r="L21" s="15" t="s">
        <v>1135</v>
      </c>
      <c r="M21" s="18" t="s">
        <v>1205</v>
      </c>
      <c r="N21" s="18" t="s">
        <v>1203</v>
      </c>
      <c r="O21" s="15" t="s">
        <v>169</v>
      </c>
      <c r="P21" s="15"/>
      <c r="Q21" s="15"/>
      <c r="R21" s="15">
        <v>37035209</v>
      </c>
      <c r="S21" s="15">
        <v>1</v>
      </c>
      <c r="T21" s="17">
        <v>3571</v>
      </c>
      <c r="U21" s="17">
        <f t="shared" si="0"/>
        <v>3571</v>
      </c>
      <c r="V21" s="15" t="s">
        <v>1138</v>
      </c>
      <c r="W21" s="15" t="s">
        <v>1138</v>
      </c>
      <c r="X21" s="15" t="s">
        <v>1138</v>
      </c>
      <c r="Y21" s="15" t="s">
        <v>1135</v>
      </c>
      <c r="Z21" s="15" t="s">
        <v>1139</v>
      </c>
      <c r="AA21" s="15" t="s">
        <v>2153</v>
      </c>
      <c r="AB21" s="13">
        <v>46073</v>
      </c>
      <c r="AC21" s="14"/>
    </row>
    <row r="22" spans="1:29" x14ac:dyDescent="0.35">
      <c r="A22" s="15">
        <v>21</v>
      </c>
      <c r="B22" s="15" t="s">
        <v>1206</v>
      </c>
      <c r="C22" s="16" t="s">
        <v>1207</v>
      </c>
      <c r="D22" s="15" t="s">
        <v>215</v>
      </c>
      <c r="E22" s="13">
        <v>46001</v>
      </c>
      <c r="F22" s="15" t="s">
        <v>1208</v>
      </c>
      <c r="G22" s="13">
        <v>46001</v>
      </c>
      <c r="H22" s="15" t="s">
        <v>56</v>
      </c>
      <c r="I22" s="18" t="s">
        <v>1134</v>
      </c>
      <c r="J22" s="15"/>
      <c r="K22" s="15" t="s">
        <v>1135</v>
      </c>
      <c r="L22" s="15" t="s">
        <v>1135</v>
      </c>
      <c r="M22" s="15" t="s">
        <v>1209</v>
      </c>
      <c r="N22" s="18" t="s">
        <v>1210</v>
      </c>
      <c r="O22" s="15" t="s">
        <v>1211</v>
      </c>
      <c r="P22" s="15"/>
      <c r="Q22" s="15"/>
      <c r="R22" s="15">
        <v>34169260</v>
      </c>
      <c r="S22" s="15">
        <v>1</v>
      </c>
      <c r="T22" s="17">
        <v>38933.129999999997</v>
      </c>
      <c r="U22" s="17">
        <f t="shared" si="0"/>
        <v>38933.129999999997</v>
      </c>
      <c r="V22" s="15" t="s">
        <v>1138</v>
      </c>
      <c r="W22" s="15" t="s">
        <v>1138</v>
      </c>
      <c r="X22" s="15" t="s">
        <v>1138</v>
      </c>
      <c r="Y22" s="15" t="s">
        <v>1135</v>
      </c>
      <c r="Z22" s="15" t="s">
        <v>1139</v>
      </c>
      <c r="AA22" s="15" t="s">
        <v>2153</v>
      </c>
      <c r="AB22" s="13">
        <v>46073</v>
      </c>
      <c r="AC22" s="14"/>
    </row>
    <row r="23" spans="1:29" x14ac:dyDescent="0.35">
      <c r="A23" s="15">
        <v>22</v>
      </c>
      <c r="B23" s="15" t="s">
        <v>1206</v>
      </c>
      <c r="C23" s="16" t="s">
        <v>1207</v>
      </c>
      <c r="D23" s="15" t="s">
        <v>215</v>
      </c>
      <c r="E23" s="13">
        <v>46001</v>
      </c>
      <c r="F23" s="15" t="s">
        <v>1208</v>
      </c>
      <c r="G23" s="13">
        <v>46001</v>
      </c>
      <c r="H23" s="15" t="s">
        <v>56</v>
      </c>
      <c r="I23" s="18" t="s">
        <v>1134</v>
      </c>
      <c r="J23" s="15"/>
      <c r="K23" s="15" t="s">
        <v>1135</v>
      </c>
      <c r="L23" s="15" t="s">
        <v>1135</v>
      </c>
      <c r="M23" s="18" t="s">
        <v>1212</v>
      </c>
      <c r="N23" s="18" t="s">
        <v>1210</v>
      </c>
      <c r="O23" s="15" t="s">
        <v>1213</v>
      </c>
      <c r="P23" s="15"/>
      <c r="Q23" s="15"/>
      <c r="R23" s="15">
        <v>36317698</v>
      </c>
      <c r="S23" s="15">
        <v>1</v>
      </c>
      <c r="T23" s="17">
        <v>6920</v>
      </c>
      <c r="U23" s="17">
        <f t="shared" si="0"/>
        <v>6920</v>
      </c>
      <c r="V23" s="15" t="s">
        <v>1138</v>
      </c>
      <c r="W23" s="15" t="s">
        <v>1138</v>
      </c>
      <c r="X23" s="15" t="s">
        <v>1138</v>
      </c>
      <c r="Y23" s="15" t="s">
        <v>1135</v>
      </c>
      <c r="Z23" s="15" t="s">
        <v>1139</v>
      </c>
      <c r="AA23" s="15" t="s">
        <v>2153</v>
      </c>
      <c r="AB23" s="13">
        <v>46073</v>
      </c>
      <c r="AC23" s="14"/>
    </row>
    <row r="24" spans="1:29" x14ac:dyDescent="0.35">
      <c r="A24" s="15">
        <v>23</v>
      </c>
      <c r="B24" s="15" t="s">
        <v>1206</v>
      </c>
      <c r="C24" s="16" t="s">
        <v>1207</v>
      </c>
      <c r="D24" s="15" t="s">
        <v>215</v>
      </c>
      <c r="E24" s="13">
        <v>46001</v>
      </c>
      <c r="F24" s="15" t="s">
        <v>1208</v>
      </c>
      <c r="G24" s="13">
        <v>46001</v>
      </c>
      <c r="H24" s="15" t="s">
        <v>56</v>
      </c>
      <c r="I24" s="18" t="s">
        <v>1134</v>
      </c>
      <c r="J24" s="15"/>
      <c r="K24" s="15" t="s">
        <v>1135</v>
      </c>
      <c r="L24" s="15" t="s">
        <v>1135</v>
      </c>
      <c r="M24" s="18" t="s">
        <v>1214</v>
      </c>
      <c r="N24" s="18" t="s">
        <v>1210</v>
      </c>
      <c r="O24" s="15" t="s">
        <v>1215</v>
      </c>
      <c r="P24" s="15"/>
      <c r="Q24" s="15"/>
      <c r="R24" s="15">
        <v>36153763</v>
      </c>
      <c r="S24" s="15">
        <v>1</v>
      </c>
      <c r="T24" s="17">
        <v>6920</v>
      </c>
      <c r="U24" s="17">
        <f t="shared" si="0"/>
        <v>6920</v>
      </c>
      <c r="V24" s="15" t="s">
        <v>1138</v>
      </c>
      <c r="W24" s="15" t="s">
        <v>1138</v>
      </c>
      <c r="X24" s="15" t="s">
        <v>1138</v>
      </c>
      <c r="Y24" s="15" t="s">
        <v>1135</v>
      </c>
      <c r="Z24" s="15" t="s">
        <v>1139</v>
      </c>
      <c r="AA24" s="15" t="s">
        <v>2153</v>
      </c>
      <c r="AB24" s="13">
        <v>46073</v>
      </c>
      <c r="AC24" s="14"/>
    </row>
    <row r="25" spans="1:29" x14ac:dyDescent="0.35">
      <c r="A25" s="15">
        <v>24</v>
      </c>
      <c r="B25" s="15" t="s">
        <v>1206</v>
      </c>
      <c r="C25" s="16" t="s">
        <v>1207</v>
      </c>
      <c r="D25" s="15" t="s">
        <v>215</v>
      </c>
      <c r="E25" s="13">
        <v>46001</v>
      </c>
      <c r="F25" s="15" t="s">
        <v>1208</v>
      </c>
      <c r="G25" s="13">
        <v>46001</v>
      </c>
      <c r="H25" s="15" t="s">
        <v>56</v>
      </c>
      <c r="I25" s="18" t="s">
        <v>1134</v>
      </c>
      <c r="J25" s="15"/>
      <c r="K25" s="15" t="s">
        <v>1135</v>
      </c>
      <c r="L25" s="15" t="s">
        <v>1135</v>
      </c>
      <c r="M25" s="18" t="s">
        <v>1216</v>
      </c>
      <c r="N25" s="18" t="s">
        <v>1210</v>
      </c>
      <c r="O25" s="15" t="s">
        <v>1217</v>
      </c>
      <c r="P25" s="15"/>
      <c r="Q25" s="15"/>
      <c r="R25" s="15">
        <v>36407779</v>
      </c>
      <c r="S25" s="15">
        <v>1</v>
      </c>
      <c r="T25" s="17">
        <v>38933.129999999997</v>
      </c>
      <c r="U25" s="17">
        <f t="shared" si="0"/>
        <v>38933.129999999997</v>
      </c>
      <c r="V25" s="15" t="s">
        <v>1138</v>
      </c>
      <c r="W25" s="15" t="s">
        <v>1138</v>
      </c>
      <c r="X25" s="15" t="s">
        <v>1138</v>
      </c>
      <c r="Y25" s="15" t="s">
        <v>1135</v>
      </c>
      <c r="Z25" s="15" t="s">
        <v>1139</v>
      </c>
      <c r="AA25" s="15" t="s">
        <v>2153</v>
      </c>
      <c r="AB25" s="13">
        <v>46073</v>
      </c>
      <c r="AC25" s="14"/>
    </row>
    <row r="26" spans="1:29" x14ac:dyDescent="0.35">
      <c r="A26" s="15">
        <v>25</v>
      </c>
      <c r="B26" s="15" t="s">
        <v>1218</v>
      </c>
      <c r="C26" s="16" t="s">
        <v>1219</v>
      </c>
      <c r="D26" s="15" t="s">
        <v>232</v>
      </c>
      <c r="E26" s="13">
        <v>46001</v>
      </c>
      <c r="F26" s="15" t="s">
        <v>1220</v>
      </c>
      <c r="G26" s="13">
        <v>46001</v>
      </c>
      <c r="H26" s="15" t="s">
        <v>56</v>
      </c>
      <c r="I26" s="18" t="s">
        <v>1134</v>
      </c>
      <c r="J26" s="15"/>
      <c r="K26" s="15" t="s">
        <v>1135</v>
      </c>
      <c r="L26" s="15" t="s">
        <v>1135</v>
      </c>
      <c r="M26" s="18" t="s">
        <v>1221</v>
      </c>
      <c r="N26" s="18" t="s">
        <v>1222</v>
      </c>
      <c r="O26" s="15" t="s">
        <v>123</v>
      </c>
      <c r="P26" s="15"/>
      <c r="Q26" s="15"/>
      <c r="R26" s="15">
        <v>36580732</v>
      </c>
      <c r="S26" s="15">
        <v>1</v>
      </c>
      <c r="T26" s="17">
        <v>6920</v>
      </c>
      <c r="U26" s="17">
        <f t="shared" si="0"/>
        <v>6920</v>
      </c>
      <c r="V26" s="15" t="s">
        <v>1138</v>
      </c>
      <c r="W26" s="15" t="s">
        <v>1138</v>
      </c>
      <c r="X26" s="15" t="s">
        <v>1138</v>
      </c>
      <c r="Y26" s="15" t="s">
        <v>1135</v>
      </c>
      <c r="Z26" s="15" t="s">
        <v>1139</v>
      </c>
      <c r="AA26" s="15" t="s">
        <v>2153</v>
      </c>
      <c r="AB26" s="13">
        <v>46073</v>
      </c>
      <c r="AC26" s="14"/>
    </row>
    <row r="27" spans="1:29" x14ac:dyDescent="0.35">
      <c r="A27" s="15">
        <v>26</v>
      </c>
      <c r="B27" s="15" t="s">
        <v>1223</v>
      </c>
      <c r="C27" s="16" t="s">
        <v>1224</v>
      </c>
      <c r="D27" s="15" t="s">
        <v>236</v>
      </c>
      <c r="E27" s="13">
        <v>46004</v>
      </c>
      <c r="F27" s="15" t="s">
        <v>1225</v>
      </c>
      <c r="G27" s="13">
        <v>46004</v>
      </c>
      <c r="H27" s="15" t="s">
        <v>56</v>
      </c>
      <c r="I27" s="15" t="s">
        <v>1134</v>
      </c>
      <c r="J27" s="15"/>
      <c r="K27" s="15" t="s">
        <v>1135</v>
      </c>
      <c r="L27" s="15" t="s">
        <v>1135</v>
      </c>
      <c r="M27" s="18" t="s">
        <v>1226</v>
      </c>
      <c r="N27" s="15" t="s">
        <v>1135</v>
      </c>
      <c r="O27" s="15" t="s">
        <v>169</v>
      </c>
      <c r="P27" s="15"/>
      <c r="Q27" s="15"/>
      <c r="R27" s="15">
        <v>37035209</v>
      </c>
      <c r="S27" s="15">
        <v>1</v>
      </c>
      <c r="T27" s="17">
        <v>3571</v>
      </c>
      <c r="U27" s="17">
        <f t="shared" si="0"/>
        <v>3571</v>
      </c>
      <c r="V27" s="15" t="s">
        <v>1138</v>
      </c>
      <c r="W27" s="15" t="s">
        <v>1138</v>
      </c>
      <c r="X27" s="15" t="s">
        <v>1138</v>
      </c>
      <c r="Y27" s="15" t="s">
        <v>1135</v>
      </c>
      <c r="Z27" s="15" t="s">
        <v>1139</v>
      </c>
      <c r="AA27" s="15" t="s">
        <v>2153</v>
      </c>
      <c r="AB27" s="13">
        <v>46073</v>
      </c>
      <c r="AC27" s="14"/>
    </row>
    <row r="28" spans="1:29" x14ac:dyDescent="0.35">
      <c r="A28" s="15">
        <v>27</v>
      </c>
      <c r="B28" s="15" t="s">
        <v>1227</v>
      </c>
      <c r="C28" s="16" t="s">
        <v>1228</v>
      </c>
      <c r="D28" s="15" t="s">
        <v>238</v>
      </c>
      <c r="E28" s="13">
        <v>46004</v>
      </c>
      <c r="F28" s="15" t="s">
        <v>1229</v>
      </c>
      <c r="G28" s="13">
        <v>46004</v>
      </c>
      <c r="H28" s="15" t="s">
        <v>56</v>
      </c>
      <c r="I28" s="18" t="s">
        <v>1134</v>
      </c>
      <c r="J28" s="15"/>
      <c r="K28" s="15" t="s">
        <v>1135</v>
      </c>
      <c r="L28" s="15" t="s">
        <v>1135</v>
      </c>
      <c r="M28" s="18" t="s">
        <v>1230</v>
      </c>
      <c r="N28" s="18" t="s">
        <v>1231</v>
      </c>
      <c r="O28" s="15" t="s">
        <v>169</v>
      </c>
      <c r="P28" s="15"/>
      <c r="Q28" s="15"/>
      <c r="R28" s="15">
        <v>37035209</v>
      </c>
      <c r="S28" s="15">
        <v>1</v>
      </c>
      <c r="T28" s="17">
        <v>3571</v>
      </c>
      <c r="U28" s="17">
        <f t="shared" si="0"/>
        <v>3571</v>
      </c>
      <c r="V28" s="15" t="s">
        <v>1138</v>
      </c>
      <c r="W28" s="15" t="s">
        <v>1138</v>
      </c>
      <c r="X28" s="15" t="s">
        <v>1138</v>
      </c>
      <c r="Y28" s="15" t="s">
        <v>1135</v>
      </c>
      <c r="Z28" s="15" t="s">
        <v>1139</v>
      </c>
      <c r="AA28" s="15" t="s">
        <v>2153</v>
      </c>
      <c r="AB28" s="13">
        <v>46073</v>
      </c>
      <c r="AC28" s="14"/>
    </row>
    <row r="29" spans="1:29" x14ac:dyDescent="0.35">
      <c r="A29" s="15">
        <v>28</v>
      </c>
      <c r="B29" s="15" t="s">
        <v>1232</v>
      </c>
      <c r="C29" s="16" t="s">
        <v>1233</v>
      </c>
      <c r="D29" s="15" t="s">
        <v>244</v>
      </c>
      <c r="E29" s="13">
        <v>46004</v>
      </c>
      <c r="F29" s="15" t="s">
        <v>1234</v>
      </c>
      <c r="G29" s="13">
        <v>46004</v>
      </c>
      <c r="H29" s="15" t="s">
        <v>56</v>
      </c>
      <c r="I29" s="15" t="s">
        <v>1134</v>
      </c>
      <c r="J29" s="15"/>
      <c r="K29" s="15" t="s">
        <v>1135</v>
      </c>
      <c r="L29" s="15" t="s">
        <v>1135</v>
      </c>
      <c r="M29" s="15" t="s">
        <v>1235</v>
      </c>
      <c r="N29" s="18" t="s">
        <v>1236</v>
      </c>
      <c r="O29" s="15" t="s">
        <v>242</v>
      </c>
      <c r="P29" s="15"/>
      <c r="Q29" s="15"/>
      <c r="R29" s="15">
        <v>35680774</v>
      </c>
      <c r="S29" s="15">
        <v>1</v>
      </c>
      <c r="T29" s="17">
        <v>6920</v>
      </c>
      <c r="U29" s="17">
        <f t="shared" si="0"/>
        <v>6920</v>
      </c>
      <c r="V29" s="15" t="s">
        <v>1138</v>
      </c>
      <c r="W29" s="15" t="s">
        <v>1138</v>
      </c>
      <c r="X29" s="15" t="s">
        <v>1138</v>
      </c>
      <c r="Y29" s="15" t="s">
        <v>1135</v>
      </c>
      <c r="Z29" s="15" t="s">
        <v>1139</v>
      </c>
      <c r="AA29" s="15" t="s">
        <v>2153</v>
      </c>
      <c r="AB29" s="13">
        <v>46073</v>
      </c>
      <c r="AC29" s="14"/>
    </row>
    <row r="30" spans="1:29" x14ac:dyDescent="0.35">
      <c r="A30" s="15">
        <v>29</v>
      </c>
      <c r="B30" s="15" t="s">
        <v>1237</v>
      </c>
      <c r="C30" s="16" t="s">
        <v>1238</v>
      </c>
      <c r="D30" s="15" t="s">
        <v>254</v>
      </c>
      <c r="E30" s="13">
        <v>46004</v>
      </c>
      <c r="F30" s="15" t="s">
        <v>1239</v>
      </c>
      <c r="G30" s="13">
        <v>46004</v>
      </c>
      <c r="H30" s="15" t="s">
        <v>56</v>
      </c>
      <c r="I30" s="15" t="s">
        <v>1134</v>
      </c>
      <c r="J30" s="15"/>
      <c r="K30" s="15" t="s">
        <v>1135</v>
      </c>
      <c r="L30" s="15" t="s">
        <v>1135</v>
      </c>
      <c r="M30" s="18" t="s">
        <v>1240</v>
      </c>
      <c r="N30" s="18" t="s">
        <v>1241</v>
      </c>
      <c r="O30" s="15" t="s">
        <v>1242</v>
      </c>
      <c r="P30" s="15"/>
      <c r="Q30" s="15"/>
      <c r="R30" s="15">
        <v>35835424</v>
      </c>
      <c r="S30" s="15">
        <v>1</v>
      </c>
      <c r="T30" s="17">
        <v>38933.129999999997</v>
      </c>
      <c r="U30" s="17">
        <f t="shared" si="0"/>
        <v>38933.129999999997</v>
      </c>
      <c r="V30" s="15" t="s">
        <v>1138</v>
      </c>
      <c r="W30" s="15" t="s">
        <v>1138</v>
      </c>
      <c r="X30" s="15" t="s">
        <v>1138</v>
      </c>
      <c r="Y30" s="15" t="s">
        <v>1135</v>
      </c>
      <c r="Z30" s="15" t="s">
        <v>1139</v>
      </c>
      <c r="AA30" s="15" t="s">
        <v>2153</v>
      </c>
      <c r="AB30" s="13">
        <v>46073</v>
      </c>
      <c r="AC30" s="14"/>
    </row>
    <row r="31" spans="1:29" x14ac:dyDescent="0.35">
      <c r="A31" s="15">
        <v>30</v>
      </c>
      <c r="B31" s="15" t="s">
        <v>1237</v>
      </c>
      <c r="C31" s="16" t="s">
        <v>1238</v>
      </c>
      <c r="D31" s="15" t="s">
        <v>254</v>
      </c>
      <c r="E31" s="13">
        <v>46004</v>
      </c>
      <c r="F31" s="15" t="s">
        <v>1239</v>
      </c>
      <c r="G31" s="13">
        <v>46004</v>
      </c>
      <c r="H31" s="15" t="s">
        <v>56</v>
      </c>
      <c r="I31" s="15" t="s">
        <v>1134</v>
      </c>
      <c r="J31" s="15"/>
      <c r="K31" s="15" t="s">
        <v>1135</v>
      </c>
      <c r="L31" s="15" t="s">
        <v>1135</v>
      </c>
      <c r="M31" s="18" t="s">
        <v>1243</v>
      </c>
      <c r="N31" s="18" t="s">
        <v>1241</v>
      </c>
      <c r="O31" s="15" t="s">
        <v>1244</v>
      </c>
      <c r="P31" s="15"/>
      <c r="Q31" s="15"/>
      <c r="R31" s="15">
        <v>36586617</v>
      </c>
      <c r="S31" s="15">
        <v>1</v>
      </c>
      <c r="T31" s="17">
        <v>41071</v>
      </c>
      <c r="U31" s="17">
        <f t="shared" si="0"/>
        <v>41071</v>
      </c>
      <c r="V31" s="15" t="s">
        <v>1138</v>
      </c>
      <c r="W31" s="15" t="s">
        <v>1138</v>
      </c>
      <c r="X31" s="15" t="s">
        <v>1138</v>
      </c>
      <c r="Y31" s="15" t="s">
        <v>1135</v>
      </c>
      <c r="Z31" s="15" t="s">
        <v>1139</v>
      </c>
      <c r="AA31" s="15" t="s">
        <v>2153</v>
      </c>
      <c r="AB31" s="13">
        <v>46073</v>
      </c>
      <c r="AC31" s="14"/>
    </row>
    <row r="32" spans="1:29" x14ac:dyDescent="0.35">
      <c r="A32" s="15">
        <v>31</v>
      </c>
      <c r="B32" s="15" t="s">
        <v>1245</v>
      </c>
      <c r="C32" s="16" t="s">
        <v>1246</v>
      </c>
      <c r="D32" s="15" t="s">
        <v>266</v>
      </c>
      <c r="E32" s="13">
        <v>46004</v>
      </c>
      <c r="F32" s="15" t="s">
        <v>1247</v>
      </c>
      <c r="G32" s="13">
        <v>46004</v>
      </c>
      <c r="H32" s="15" t="s">
        <v>56</v>
      </c>
      <c r="I32" s="15" t="s">
        <v>1134</v>
      </c>
      <c r="J32" s="15"/>
      <c r="K32" s="15" t="s">
        <v>1135</v>
      </c>
      <c r="L32" s="15" t="s">
        <v>1135</v>
      </c>
      <c r="M32" s="18" t="s">
        <v>1248</v>
      </c>
      <c r="N32" s="18" t="s">
        <v>1249</v>
      </c>
      <c r="O32" s="15" t="s">
        <v>169</v>
      </c>
      <c r="P32" s="15"/>
      <c r="Q32" s="15"/>
      <c r="R32" s="15">
        <v>37000428</v>
      </c>
      <c r="S32" s="15">
        <v>1</v>
      </c>
      <c r="T32" s="17">
        <v>3571</v>
      </c>
      <c r="U32" s="17">
        <f t="shared" si="0"/>
        <v>3571</v>
      </c>
      <c r="V32" s="15" t="s">
        <v>1138</v>
      </c>
      <c r="W32" s="15" t="s">
        <v>1138</v>
      </c>
      <c r="X32" s="15" t="s">
        <v>1138</v>
      </c>
      <c r="Y32" s="15" t="s">
        <v>1135</v>
      </c>
      <c r="Z32" s="15" t="s">
        <v>1139</v>
      </c>
      <c r="AA32" s="15" t="s">
        <v>2153</v>
      </c>
      <c r="AB32" s="13">
        <v>46073</v>
      </c>
      <c r="AC32" s="14"/>
    </row>
    <row r="33" spans="1:29" x14ac:dyDescent="0.35">
      <c r="A33" s="15">
        <v>32</v>
      </c>
      <c r="B33" s="15" t="s">
        <v>1250</v>
      </c>
      <c r="C33" s="16" t="s">
        <v>1251</v>
      </c>
      <c r="D33" s="15" t="s">
        <v>264</v>
      </c>
      <c r="E33" s="13">
        <v>46004</v>
      </c>
      <c r="F33" s="15" t="s">
        <v>1252</v>
      </c>
      <c r="G33" s="13">
        <v>46004</v>
      </c>
      <c r="H33" s="15" t="s">
        <v>56</v>
      </c>
      <c r="I33" s="15" t="s">
        <v>1134</v>
      </c>
      <c r="J33" s="15"/>
      <c r="K33" s="15" t="s">
        <v>1135</v>
      </c>
      <c r="L33" s="15" t="s">
        <v>1135</v>
      </c>
      <c r="M33" s="18" t="s">
        <v>1253</v>
      </c>
      <c r="N33" s="18" t="s">
        <v>1254</v>
      </c>
      <c r="O33" s="15" t="s">
        <v>262</v>
      </c>
      <c r="P33" s="15"/>
      <c r="Q33" s="15"/>
      <c r="R33" s="15">
        <v>37065297</v>
      </c>
      <c r="S33" s="15">
        <v>1</v>
      </c>
      <c r="T33" s="17">
        <v>3571</v>
      </c>
      <c r="U33" s="17">
        <f t="shared" si="0"/>
        <v>3571</v>
      </c>
      <c r="V33" s="15" t="s">
        <v>1138</v>
      </c>
      <c r="W33" s="15" t="s">
        <v>1138</v>
      </c>
      <c r="X33" s="15" t="s">
        <v>1138</v>
      </c>
      <c r="Y33" s="15" t="s">
        <v>1135</v>
      </c>
      <c r="Z33" s="15" t="s">
        <v>1139</v>
      </c>
      <c r="AA33" s="15" t="s">
        <v>2153</v>
      </c>
      <c r="AB33" s="13">
        <v>46073</v>
      </c>
      <c r="AC33" s="14"/>
    </row>
    <row r="34" spans="1:29" x14ac:dyDescent="0.35">
      <c r="A34" s="15">
        <v>33</v>
      </c>
      <c r="B34" s="15" t="s">
        <v>1255</v>
      </c>
      <c r="C34" s="16" t="s">
        <v>1256</v>
      </c>
      <c r="D34" s="15" t="s">
        <v>268</v>
      </c>
      <c r="E34" s="13">
        <v>46004</v>
      </c>
      <c r="F34" s="15" t="s">
        <v>1257</v>
      </c>
      <c r="G34" s="13">
        <v>46004</v>
      </c>
      <c r="H34" s="15" t="s">
        <v>56</v>
      </c>
      <c r="I34" s="18" t="s">
        <v>1134</v>
      </c>
      <c r="J34" s="15"/>
      <c r="K34" s="15" t="s">
        <v>1135</v>
      </c>
      <c r="L34" s="15" t="s">
        <v>1135</v>
      </c>
      <c r="M34" s="18" t="s">
        <v>1258</v>
      </c>
      <c r="N34" s="18" t="s">
        <v>1259</v>
      </c>
      <c r="O34" s="15" t="s">
        <v>1260</v>
      </c>
      <c r="P34" s="15"/>
      <c r="Q34" s="15"/>
      <c r="R34" s="15">
        <v>36580760</v>
      </c>
      <c r="S34" s="15">
        <v>1</v>
      </c>
      <c r="T34" s="17">
        <v>6920</v>
      </c>
      <c r="U34" s="17">
        <f t="shared" si="0"/>
        <v>6920</v>
      </c>
      <c r="V34" s="15" t="s">
        <v>1138</v>
      </c>
      <c r="W34" s="15" t="s">
        <v>1138</v>
      </c>
      <c r="X34" s="15" t="s">
        <v>1138</v>
      </c>
      <c r="Y34" s="15" t="s">
        <v>1135</v>
      </c>
      <c r="Z34" s="15" t="s">
        <v>1139</v>
      </c>
      <c r="AA34" s="15" t="s">
        <v>2153</v>
      </c>
      <c r="AB34" s="13">
        <v>46073</v>
      </c>
      <c r="AC34" s="14"/>
    </row>
    <row r="35" spans="1:29" x14ac:dyDescent="0.35">
      <c r="A35" s="15">
        <v>34</v>
      </c>
      <c r="B35" s="15" t="s">
        <v>1261</v>
      </c>
      <c r="C35" s="16" t="s">
        <v>1262</v>
      </c>
      <c r="D35" s="15" t="s">
        <v>274</v>
      </c>
      <c r="E35" s="13">
        <v>46006</v>
      </c>
      <c r="F35" s="15" t="s">
        <v>1263</v>
      </c>
      <c r="G35" s="13">
        <v>46006</v>
      </c>
      <c r="H35" s="15" t="s">
        <v>56</v>
      </c>
      <c r="I35" s="15" t="s">
        <v>1134</v>
      </c>
      <c r="J35" s="15"/>
      <c r="K35" s="15" t="s">
        <v>1135</v>
      </c>
      <c r="L35" s="15" t="s">
        <v>1135</v>
      </c>
      <c r="M35" s="15" t="s">
        <v>1264</v>
      </c>
      <c r="N35" s="18" t="s">
        <v>1265</v>
      </c>
      <c r="O35" s="15" t="s">
        <v>272</v>
      </c>
      <c r="P35" s="15"/>
      <c r="Q35" s="15"/>
      <c r="R35" s="15">
        <v>34634889</v>
      </c>
      <c r="S35" s="15">
        <v>1</v>
      </c>
      <c r="T35" s="17">
        <v>6920</v>
      </c>
      <c r="U35" s="17">
        <f t="shared" si="0"/>
        <v>6920</v>
      </c>
      <c r="V35" s="15" t="s">
        <v>1138</v>
      </c>
      <c r="W35" s="15" t="s">
        <v>1138</v>
      </c>
      <c r="X35" s="15" t="s">
        <v>1138</v>
      </c>
      <c r="Y35" s="15" t="s">
        <v>1135</v>
      </c>
      <c r="Z35" s="15" t="s">
        <v>1139</v>
      </c>
      <c r="AA35" s="15" t="s">
        <v>2153</v>
      </c>
      <c r="AB35" s="13">
        <v>46073</v>
      </c>
      <c r="AC35" s="14"/>
    </row>
    <row r="36" spans="1:29" x14ac:dyDescent="0.35">
      <c r="A36" s="15">
        <v>35</v>
      </c>
      <c r="B36" s="15" t="s">
        <v>1266</v>
      </c>
      <c r="C36" s="16" t="s">
        <v>1267</v>
      </c>
      <c r="D36" s="15" t="s">
        <v>276</v>
      </c>
      <c r="E36" s="13">
        <v>46006</v>
      </c>
      <c r="F36" s="15" t="s">
        <v>1268</v>
      </c>
      <c r="G36" s="13">
        <v>46006</v>
      </c>
      <c r="H36" s="15" t="s">
        <v>56</v>
      </c>
      <c r="I36" s="15" t="s">
        <v>1134</v>
      </c>
      <c r="J36" s="15"/>
      <c r="K36" s="15" t="s">
        <v>1135</v>
      </c>
      <c r="L36" s="15" t="s">
        <v>1135</v>
      </c>
      <c r="M36" s="18" t="s">
        <v>1269</v>
      </c>
      <c r="N36" s="15" t="s">
        <v>1135</v>
      </c>
      <c r="O36" s="15" t="s">
        <v>169</v>
      </c>
      <c r="P36" s="15"/>
      <c r="Q36" s="15"/>
      <c r="R36" s="15">
        <v>37035209</v>
      </c>
      <c r="S36" s="15">
        <v>1</v>
      </c>
      <c r="T36" s="17">
        <v>3571</v>
      </c>
      <c r="U36" s="17">
        <f t="shared" si="0"/>
        <v>3571</v>
      </c>
      <c r="V36" s="15" t="s">
        <v>1138</v>
      </c>
      <c r="W36" s="15" t="s">
        <v>1138</v>
      </c>
      <c r="X36" s="15" t="s">
        <v>1138</v>
      </c>
      <c r="Y36" s="15" t="s">
        <v>1135</v>
      </c>
      <c r="Z36" s="15" t="s">
        <v>1139</v>
      </c>
      <c r="AA36" s="15" t="s">
        <v>2153</v>
      </c>
      <c r="AB36" s="13">
        <v>46073</v>
      </c>
      <c r="AC36" s="14"/>
    </row>
    <row r="37" spans="1:29" x14ac:dyDescent="0.35">
      <c r="A37" s="15">
        <v>36</v>
      </c>
      <c r="B37" s="15" t="s">
        <v>1270</v>
      </c>
      <c r="C37" s="16" t="s">
        <v>1271</v>
      </c>
      <c r="D37" s="15" t="s">
        <v>281</v>
      </c>
      <c r="E37" s="13">
        <v>46007</v>
      </c>
      <c r="F37" s="15" t="s">
        <v>1272</v>
      </c>
      <c r="G37" s="13">
        <v>46007</v>
      </c>
      <c r="H37" s="15" t="s">
        <v>56</v>
      </c>
      <c r="I37" s="15" t="s">
        <v>1134</v>
      </c>
      <c r="J37" s="15"/>
      <c r="K37" s="15" t="s">
        <v>1135</v>
      </c>
      <c r="L37" s="15" t="s">
        <v>1135</v>
      </c>
      <c r="M37" s="18" t="s">
        <v>1273</v>
      </c>
      <c r="N37" s="18" t="s">
        <v>1274</v>
      </c>
      <c r="O37" s="15" t="s">
        <v>169</v>
      </c>
      <c r="P37" s="15"/>
      <c r="Q37" s="15"/>
      <c r="R37" s="15">
        <v>36988046</v>
      </c>
      <c r="S37" s="15">
        <v>1</v>
      </c>
      <c r="T37" s="17">
        <v>3571</v>
      </c>
      <c r="U37" s="17">
        <f t="shared" si="0"/>
        <v>3571</v>
      </c>
      <c r="V37" s="15" t="s">
        <v>1138</v>
      </c>
      <c r="W37" s="15" t="s">
        <v>1138</v>
      </c>
      <c r="X37" s="15" t="s">
        <v>1138</v>
      </c>
      <c r="Y37" s="15" t="s">
        <v>1135</v>
      </c>
      <c r="Z37" s="15" t="s">
        <v>1139</v>
      </c>
      <c r="AA37" s="15" t="s">
        <v>2153</v>
      </c>
      <c r="AB37" s="13">
        <v>46073</v>
      </c>
      <c r="AC37" s="14"/>
    </row>
    <row r="38" spans="1:29" x14ac:dyDescent="0.35">
      <c r="A38" s="15">
        <v>37</v>
      </c>
      <c r="B38" s="15" t="s">
        <v>1275</v>
      </c>
      <c r="C38" s="16" t="s">
        <v>1276</v>
      </c>
      <c r="D38" s="15" t="s">
        <v>296</v>
      </c>
      <c r="E38" s="13">
        <v>46008</v>
      </c>
      <c r="F38" s="15" t="s">
        <v>1277</v>
      </c>
      <c r="G38" s="13">
        <v>46008</v>
      </c>
      <c r="H38" s="15" t="s">
        <v>56</v>
      </c>
      <c r="I38" s="18" t="s">
        <v>1134</v>
      </c>
      <c r="J38" s="15"/>
      <c r="K38" s="15" t="s">
        <v>1135</v>
      </c>
      <c r="L38" s="15" t="s">
        <v>1135</v>
      </c>
      <c r="M38" s="18" t="s">
        <v>1278</v>
      </c>
      <c r="N38" s="15" t="s">
        <v>1135</v>
      </c>
      <c r="O38" s="15" t="s">
        <v>1279</v>
      </c>
      <c r="P38" s="15"/>
      <c r="Q38" s="15"/>
      <c r="R38" s="15">
        <v>36490282</v>
      </c>
      <c r="S38" s="15">
        <v>1</v>
      </c>
      <c r="T38" s="17">
        <v>38933.129999999997</v>
      </c>
      <c r="U38" s="17">
        <f t="shared" si="0"/>
        <v>38933.129999999997</v>
      </c>
      <c r="V38" s="15" t="s">
        <v>1138</v>
      </c>
      <c r="W38" s="15" t="s">
        <v>1138</v>
      </c>
      <c r="X38" s="15" t="s">
        <v>1138</v>
      </c>
      <c r="Y38" s="15" t="s">
        <v>1135</v>
      </c>
      <c r="Z38" s="15" t="s">
        <v>1139</v>
      </c>
      <c r="AA38" s="15" t="s">
        <v>2153</v>
      </c>
      <c r="AB38" s="13">
        <v>46073</v>
      </c>
      <c r="AC38" s="14"/>
    </row>
    <row r="39" spans="1:29" x14ac:dyDescent="0.35">
      <c r="A39" s="15">
        <v>38</v>
      </c>
      <c r="B39" s="15" t="s">
        <v>1275</v>
      </c>
      <c r="C39" s="16" t="s">
        <v>1276</v>
      </c>
      <c r="D39" s="15" t="s">
        <v>296</v>
      </c>
      <c r="E39" s="13">
        <v>46008</v>
      </c>
      <c r="F39" s="15" t="s">
        <v>1277</v>
      </c>
      <c r="G39" s="13">
        <v>46008</v>
      </c>
      <c r="H39" s="15" t="s">
        <v>56</v>
      </c>
      <c r="I39" s="18" t="s">
        <v>1134</v>
      </c>
      <c r="J39" s="15"/>
      <c r="K39" s="15" t="s">
        <v>1135</v>
      </c>
      <c r="L39" s="15" t="s">
        <v>1135</v>
      </c>
      <c r="M39" s="18" t="s">
        <v>1280</v>
      </c>
      <c r="N39" s="15" t="s">
        <v>1135</v>
      </c>
      <c r="O39" s="15" t="s">
        <v>1281</v>
      </c>
      <c r="P39" s="15"/>
      <c r="Q39" s="15"/>
      <c r="R39" s="15">
        <v>35167456</v>
      </c>
      <c r="S39" s="15">
        <v>1</v>
      </c>
      <c r="T39" s="17">
        <v>38933.129999999997</v>
      </c>
      <c r="U39" s="17">
        <f t="shared" si="0"/>
        <v>38933.129999999997</v>
      </c>
      <c r="V39" s="15" t="s">
        <v>1138</v>
      </c>
      <c r="W39" s="15" t="s">
        <v>1138</v>
      </c>
      <c r="X39" s="15" t="s">
        <v>1138</v>
      </c>
      <c r="Y39" s="15" t="s">
        <v>1135</v>
      </c>
      <c r="Z39" s="15" t="s">
        <v>1139</v>
      </c>
      <c r="AA39" s="15" t="s">
        <v>2153</v>
      </c>
      <c r="AB39" s="13">
        <v>46073</v>
      </c>
      <c r="AC39" s="14"/>
    </row>
    <row r="40" spans="1:29" x14ac:dyDescent="0.35">
      <c r="A40" s="15">
        <v>39</v>
      </c>
      <c r="B40" s="15" t="s">
        <v>1275</v>
      </c>
      <c r="C40" s="16" t="s">
        <v>1276</v>
      </c>
      <c r="D40" s="15" t="s">
        <v>296</v>
      </c>
      <c r="E40" s="13">
        <v>46008</v>
      </c>
      <c r="F40" s="15" t="s">
        <v>1277</v>
      </c>
      <c r="G40" s="13">
        <v>46008</v>
      </c>
      <c r="H40" s="15" t="s">
        <v>56</v>
      </c>
      <c r="I40" s="18" t="s">
        <v>1134</v>
      </c>
      <c r="J40" s="15"/>
      <c r="K40" s="15" t="s">
        <v>1135</v>
      </c>
      <c r="L40" s="15" t="s">
        <v>1135</v>
      </c>
      <c r="M40" s="18" t="s">
        <v>1282</v>
      </c>
      <c r="N40" s="15" t="s">
        <v>1135</v>
      </c>
      <c r="O40" s="15" t="s">
        <v>262</v>
      </c>
      <c r="P40" s="15"/>
      <c r="Q40" s="15"/>
      <c r="R40" s="15">
        <v>37065297</v>
      </c>
      <c r="S40" s="15">
        <v>1</v>
      </c>
      <c r="T40" s="17">
        <v>3571</v>
      </c>
      <c r="U40" s="17">
        <f t="shared" si="0"/>
        <v>3571</v>
      </c>
      <c r="V40" s="15" t="s">
        <v>1138</v>
      </c>
      <c r="W40" s="15" t="s">
        <v>1138</v>
      </c>
      <c r="X40" s="15" t="s">
        <v>1138</v>
      </c>
      <c r="Y40" s="15" t="s">
        <v>1135</v>
      </c>
      <c r="Z40" s="15" t="s">
        <v>1139</v>
      </c>
      <c r="AA40" s="15" t="s">
        <v>2153</v>
      </c>
      <c r="AB40" s="13">
        <v>46073</v>
      </c>
      <c r="AC40" s="14"/>
    </row>
    <row r="41" spans="1:29" x14ac:dyDescent="0.35">
      <c r="A41" s="15">
        <v>40</v>
      </c>
      <c r="B41" s="15" t="s">
        <v>1275</v>
      </c>
      <c r="C41" s="16" t="s">
        <v>1276</v>
      </c>
      <c r="D41" s="15" t="s">
        <v>296</v>
      </c>
      <c r="E41" s="13">
        <v>46008</v>
      </c>
      <c r="F41" s="15" t="s">
        <v>1277</v>
      </c>
      <c r="G41" s="13">
        <v>46008</v>
      </c>
      <c r="H41" s="15" t="s">
        <v>56</v>
      </c>
      <c r="I41" s="18" t="s">
        <v>1134</v>
      </c>
      <c r="J41" s="15"/>
      <c r="K41" s="15" t="s">
        <v>1135</v>
      </c>
      <c r="L41" s="15" t="s">
        <v>1135</v>
      </c>
      <c r="M41" s="18" t="s">
        <v>1283</v>
      </c>
      <c r="N41" s="15" t="s">
        <v>1135</v>
      </c>
      <c r="O41" s="15" t="s">
        <v>169</v>
      </c>
      <c r="P41" s="15"/>
      <c r="Q41" s="15"/>
      <c r="R41" s="15">
        <v>37035209</v>
      </c>
      <c r="S41" s="15">
        <v>1</v>
      </c>
      <c r="T41" s="17">
        <v>3571</v>
      </c>
      <c r="U41" s="17">
        <f t="shared" si="0"/>
        <v>3571</v>
      </c>
      <c r="V41" s="15" t="s">
        <v>1138</v>
      </c>
      <c r="W41" s="15" t="s">
        <v>1138</v>
      </c>
      <c r="X41" s="15" t="s">
        <v>1138</v>
      </c>
      <c r="Y41" s="15" t="s">
        <v>1135</v>
      </c>
      <c r="Z41" s="15" t="s">
        <v>1139</v>
      </c>
      <c r="AA41" s="15" t="s">
        <v>2153</v>
      </c>
      <c r="AB41" s="13">
        <v>46073</v>
      </c>
      <c r="AC41" s="14"/>
    </row>
    <row r="42" spans="1:29" x14ac:dyDescent="0.35">
      <c r="A42" s="15">
        <v>41</v>
      </c>
      <c r="B42" s="15" t="s">
        <v>1284</v>
      </c>
      <c r="C42" s="16" t="s">
        <v>1285</v>
      </c>
      <c r="D42" s="15" t="s">
        <v>309</v>
      </c>
      <c r="E42" s="13">
        <v>46010</v>
      </c>
      <c r="F42" s="15" t="s">
        <v>1286</v>
      </c>
      <c r="G42" s="13">
        <v>46010</v>
      </c>
      <c r="H42" s="15" t="s">
        <v>56</v>
      </c>
      <c r="I42" s="15" t="s">
        <v>1134</v>
      </c>
      <c r="J42" s="15"/>
      <c r="K42" s="15" t="s">
        <v>1135</v>
      </c>
      <c r="L42" s="15" t="s">
        <v>1135</v>
      </c>
      <c r="M42" s="15" t="s">
        <v>1287</v>
      </c>
      <c r="N42" s="15" t="s">
        <v>1135</v>
      </c>
      <c r="O42" s="15" t="s">
        <v>147</v>
      </c>
      <c r="P42" s="15"/>
      <c r="Q42" s="15"/>
      <c r="R42" s="15">
        <v>35232356</v>
      </c>
      <c r="S42" s="15">
        <v>1</v>
      </c>
      <c r="T42" s="17">
        <v>3572</v>
      </c>
      <c r="U42" s="17">
        <f t="shared" si="0"/>
        <v>3572</v>
      </c>
      <c r="V42" s="15" t="s">
        <v>1138</v>
      </c>
      <c r="W42" s="15" t="s">
        <v>1138</v>
      </c>
      <c r="X42" s="15" t="s">
        <v>1138</v>
      </c>
      <c r="Y42" s="15" t="s">
        <v>1135</v>
      </c>
      <c r="Z42" s="15" t="s">
        <v>1139</v>
      </c>
      <c r="AA42" s="15" t="s">
        <v>2153</v>
      </c>
      <c r="AB42" s="13">
        <v>46073</v>
      </c>
      <c r="AC42" s="14"/>
    </row>
    <row r="43" spans="1:29" x14ac:dyDescent="0.35">
      <c r="A43" s="15">
        <v>42</v>
      </c>
      <c r="B43" s="15" t="s">
        <v>1288</v>
      </c>
      <c r="C43" s="16" t="s">
        <v>1289</v>
      </c>
      <c r="D43" s="15" t="s">
        <v>311</v>
      </c>
      <c r="E43" s="13">
        <v>46010</v>
      </c>
      <c r="F43" s="15" t="s">
        <v>1290</v>
      </c>
      <c r="G43" s="13">
        <v>46010</v>
      </c>
      <c r="H43" s="15" t="s">
        <v>56</v>
      </c>
      <c r="I43" s="18" t="s">
        <v>1134</v>
      </c>
      <c r="J43" s="15"/>
      <c r="K43" s="15" t="s">
        <v>1135</v>
      </c>
      <c r="L43" s="15" t="s">
        <v>1135</v>
      </c>
      <c r="M43" s="15" t="s">
        <v>1291</v>
      </c>
      <c r="N43" s="18" t="s">
        <v>1292</v>
      </c>
      <c r="O43" s="15" t="s">
        <v>1293</v>
      </c>
      <c r="P43" s="15"/>
      <c r="Q43" s="15"/>
      <c r="R43" s="15">
        <v>35309393</v>
      </c>
      <c r="S43" s="15">
        <v>1</v>
      </c>
      <c r="T43" s="17">
        <v>41071</v>
      </c>
      <c r="U43" s="17">
        <f t="shared" si="0"/>
        <v>41071</v>
      </c>
      <c r="V43" s="15" t="s">
        <v>1138</v>
      </c>
      <c r="W43" s="15" t="s">
        <v>1138</v>
      </c>
      <c r="X43" s="15" t="s">
        <v>1138</v>
      </c>
      <c r="Y43" s="15" t="s">
        <v>1135</v>
      </c>
      <c r="Z43" s="15" t="s">
        <v>1139</v>
      </c>
      <c r="AA43" s="15" t="s">
        <v>2153</v>
      </c>
      <c r="AB43" s="13">
        <v>46073</v>
      </c>
      <c r="AC43" s="14"/>
    </row>
    <row r="44" spans="1:29" x14ac:dyDescent="0.35">
      <c r="A44" s="15">
        <v>43</v>
      </c>
      <c r="B44" s="15" t="s">
        <v>1288</v>
      </c>
      <c r="C44" s="16" t="s">
        <v>1289</v>
      </c>
      <c r="D44" s="15" t="s">
        <v>311</v>
      </c>
      <c r="E44" s="13">
        <v>46010</v>
      </c>
      <c r="F44" s="15" t="s">
        <v>1294</v>
      </c>
      <c r="G44" s="13">
        <v>46010</v>
      </c>
      <c r="H44" s="15" t="s">
        <v>56</v>
      </c>
      <c r="I44" s="18" t="s">
        <v>1134</v>
      </c>
      <c r="J44" s="15"/>
      <c r="K44" s="15" t="s">
        <v>1135</v>
      </c>
      <c r="L44" s="15" t="s">
        <v>1135</v>
      </c>
      <c r="M44" s="15" t="s">
        <v>1295</v>
      </c>
      <c r="N44" s="18" t="s">
        <v>1292</v>
      </c>
      <c r="O44" s="15" t="s">
        <v>1296</v>
      </c>
      <c r="P44" s="15"/>
      <c r="Q44" s="15"/>
      <c r="R44" s="15">
        <v>35609786</v>
      </c>
      <c r="S44" s="15">
        <v>1</v>
      </c>
      <c r="T44" s="17">
        <v>38933.129999999997</v>
      </c>
      <c r="U44" s="17">
        <f t="shared" si="0"/>
        <v>38933.129999999997</v>
      </c>
      <c r="V44" s="15" t="s">
        <v>1138</v>
      </c>
      <c r="W44" s="15" t="s">
        <v>1138</v>
      </c>
      <c r="X44" s="15" t="s">
        <v>1138</v>
      </c>
      <c r="Y44" s="15" t="s">
        <v>1135</v>
      </c>
      <c r="Z44" s="15" t="s">
        <v>1139</v>
      </c>
      <c r="AA44" s="15" t="s">
        <v>2153</v>
      </c>
      <c r="AB44" s="13">
        <v>46073</v>
      </c>
      <c r="AC44" s="14"/>
    </row>
    <row r="45" spans="1:29" x14ac:dyDescent="0.35">
      <c r="A45" s="15">
        <v>44</v>
      </c>
      <c r="B45" s="15" t="s">
        <v>1288</v>
      </c>
      <c r="C45" s="16" t="s">
        <v>1289</v>
      </c>
      <c r="D45" s="15" t="s">
        <v>311</v>
      </c>
      <c r="E45" s="13">
        <v>46010</v>
      </c>
      <c r="F45" s="15" t="s">
        <v>1290</v>
      </c>
      <c r="G45" s="13">
        <v>46010</v>
      </c>
      <c r="H45" s="15" t="s">
        <v>56</v>
      </c>
      <c r="I45" s="18" t="s">
        <v>1134</v>
      </c>
      <c r="J45" s="15"/>
      <c r="K45" s="15" t="s">
        <v>1135</v>
      </c>
      <c r="L45" s="15" t="s">
        <v>1135</v>
      </c>
      <c r="M45" s="18" t="s">
        <v>1297</v>
      </c>
      <c r="N45" s="18" t="s">
        <v>1292</v>
      </c>
      <c r="O45" s="15" t="s">
        <v>1298</v>
      </c>
      <c r="P45" s="15"/>
      <c r="Q45" s="15"/>
      <c r="R45" s="15">
        <v>34995073</v>
      </c>
      <c r="S45" s="15">
        <v>1</v>
      </c>
      <c r="T45" s="17">
        <v>38933.129999999997</v>
      </c>
      <c r="U45" s="17">
        <f t="shared" si="0"/>
        <v>38933.129999999997</v>
      </c>
      <c r="V45" s="15" t="s">
        <v>1138</v>
      </c>
      <c r="W45" s="15" t="s">
        <v>1138</v>
      </c>
      <c r="X45" s="15" t="s">
        <v>1138</v>
      </c>
      <c r="Y45" s="15" t="s">
        <v>1135</v>
      </c>
      <c r="Z45" s="15" t="s">
        <v>1139</v>
      </c>
      <c r="AA45" s="15" t="s">
        <v>2153</v>
      </c>
      <c r="AB45" s="13">
        <v>46073</v>
      </c>
      <c r="AC45" s="14"/>
    </row>
    <row r="46" spans="1:29" x14ac:dyDescent="0.35">
      <c r="A46" s="15">
        <v>45</v>
      </c>
      <c r="B46" s="15" t="s">
        <v>1288</v>
      </c>
      <c r="C46" s="16" t="s">
        <v>1289</v>
      </c>
      <c r="D46" s="15" t="s">
        <v>311</v>
      </c>
      <c r="E46" s="13">
        <v>46010</v>
      </c>
      <c r="F46" s="15" t="s">
        <v>1290</v>
      </c>
      <c r="G46" s="13">
        <v>46010</v>
      </c>
      <c r="H46" s="15" t="s">
        <v>56</v>
      </c>
      <c r="I46" s="18" t="s">
        <v>1134</v>
      </c>
      <c r="J46" s="15"/>
      <c r="K46" s="15" t="s">
        <v>1135</v>
      </c>
      <c r="L46" s="15" t="s">
        <v>1135</v>
      </c>
      <c r="M46" s="18" t="s">
        <v>1299</v>
      </c>
      <c r="N46" s="18" t="s">
        <v>1292</v>
      </c>
      <c r="O46" s="15" t="s">
        <v>1300</v>
      </c>
      <c r="P46" s="15"/>
      <c r="Q46" s="15"/>
      <c r="R46" s="15">
        <v>33672635</v>
      </c>
      <c r="S46" s="15">
        <v>1</v>
      </c>
      <c r="T46" s="17">
        <v>38933.129999999997</v>
      </c>
      <c r="U46" s="17">
        <f t="shared" si="0"/>
        <v>38933.129999999997</v>
      </c>
      <c r="V46" s="15" t="s">
        <v>1138</v>
      </c>
      <c r="W46" s="15" t="s">
        <v>1138</v>
      </c>
      <c r="X46" s="15" t="s">
        <v>1138</v>
      </c>
      <c r="Y46" s="15" t="s">
        <v>1135</v>
      </c>
      <c r="Z46" s="15" t="s">
        <v>1139</v>
      </c>
      <c r="AA46" s="15" t="s">
        <v>2153</v>
      </c>
      <c r="AB46" s="13">
        <v>46073</v>
      </c>
      <c r="AC46" s="14"/>
    </row>
    <row r="47" spans="1:29" x14ac:dyDescent="0.35">
      <c r="A47" s="15">
        <v>46</v>
      </c>
      <c r="B47" s="15" t="s">
        <v>1288</v>
      </c>
      <c r="C47" s="16" t="s">
        <v>1289</v>
      </c>
      <c r="D47" s="15" t="s">
        <v>311</v>
      </c>
      <c r="E47" s="13">
        <v>46010</v>
      </c>
      <c r="F47" s="15" t="s">
        <v>1290</v>
      </c>
      <c r="G47" s="13">
        <v>46010</v>
      </c>
      <c r="H47" s="15" t="s">
        <v>56</v>
      </c>
      <c r="I47" s="18" t="s">
        <v>1134</v>
      </c>
      <c r="J47" s="15"/>
      <c r="K47" s="15" t="s">
        <v>1135</v>
      </c>
      <c r="L47" s="15" t="s">
        <v>1135</v>
      </c>
      <c r="M47" s="18" t="s">
        <v>1301</v>
      </c>
      <c r="N47" s="18" t="s">
        <v>1292</v>
      </c>
      <c r="O47" s="15" t="s">
        <v>262</v>
      </c>
      <c r="P47" s="15"/>
      <c r="Q47" s="15"/>
      <c r="R47" s="15">
        <v>37065297</v>
      </c>
      <c r="S47" s="15">
        <v>1</v>
      </c>
      <c r="T47" s="17">
        <v>3571</v>
      </c>
      <c r="U47" s="17">
        <f t="shared" si="0"/>
        <v>3571</v>
      </c>
      <c r="V47" s="15" t="s">
        <v>1138</v>
      </c>
      <c r="W47" s="15" t="s">
        <v>1138</v>
      </c>
      <c r="X47" s="15" t="s">
        <v>1138</v>
      </c>
      <c r="Y47" s="15" t="s">
        <v>1135</v>
      </c>
      <c r="Z47" s="15" t="s">
        <v>1139</v>
      </c>
      <c r="AA47" s="15" t="s">
        <v>2153</v>
      </c>
      <c r="AB47" s="13">
        <v>46073</v>
      </c>
      <c r="AC47" s="14"/>
    </row>
    <row r="48" spans="1:29" x14ac:dyDescent="0.35">
      <c r="A48" s="15">
        <v>47</v>
      </c>
      <c r="B48" s="15" t="s">
        <v>1302</v>
      </c>
      <c r="C48" s="16" t="s">
        <v>1303</v>
      </c>
      <c r="D48" s="15" t="s">
        <v>326</v>
      </c>
      <c r="E48" s="13">
        <v>46011</v>
      </c>
      <c r="F48" s="15" t="s">
        <v>1304</v>
      </c>
      <c r="G48" s="13">
        <v>46011</v>
      </c>
      <c r="H48" s="15" t="s">
        <v>56</v>
      </c>
      <c r="I48" s="15" t="s">
        <v>1134</v>
      </c>
      <c r="J48" s="15"/>
      <c r="K48" s="15" t="s">
        <v>1135</v>
      </c>
      <c r="L48" s="15" t="s">
        <v>1135</v>
      </c>
      <c r="M48" s="18" t="s">
        <v>1305</v>
      </c>
      <c r="N48" s="18" t="s">
        <v>1306</v>
      </c>
      <c r="O48" s="15" t="s">
        <v>1156</v>
      </c>
      <c r="P48" s="15"/>
      <c r="Q48" s="15"/>
      <c r="R48" s="15">
        <v>36737531</v>
      </c>
      <c r="S48" s="15">
        <v>1</v>
      </c>
      <c r="T48" s="17">
        <v>6920</v>
      </c>
      <c r="U48" s="17">
        <f t="shared" si="0"/>
        <v>6920</v>
      </c>
      <c r="V48" s="15" t="s">
        <v>1138</v>
      </c>
      <c r="W48" s="15" t="s">
        <v>1138</v>
      </c>
      <c r="X48" s="15" t="s">
        <v>1138</v>
      </c>
      <c r="Y48" s="15" t="s">
        <v>1135</v>
      </c>
      <c r="Z48" s="15" t="s">
        <v>1139</v>
      </c>
      <c r="AA48" s="15" t="s">
        <v>2153</v>
      </c>
      <c r="AB48" s="13">
        <v>46073</v>
      </c>
      <c r="AC48" s="14"/>
    </row>
    <row r="49" spans="1:29" x14ac:dyDescent="0.35">
      <c r="A49" s="15">
        <v>48</v>
      </c>
      <c r="B49" s="15" t="s">
        <v>1307</v>
      </c>
      <c r="C49" s="16" t="s">
        <v>1308</v>
      </c>
      <c r="D49" s="15" t="s">
        <v>332</v>
      </c>
      <c r="E49" s="13">
        <v>46013</v>
      </c>
      <c r="F49" s="15" t="s">
        <v>1309</v>
      </c>
      <c r="G49" s="15" t="s">
        <v>1135</v>
      </c>
      <c r="H49" s="15" t="s">
        <v>56</v>
      </c>
      <c r="I49" s="18" t="s">
        <v>1134</v>
      </c>
      <c r="J49" s="15"/>
      <c r="K49" s="15" t="s">
        <v>1135</v>
      </c>
      <c r="L49" s="15" t="s">
        <v>1135</v>
      </c>
      <c r="M49" s="18" t="s">
        <v>1310</v>
      </c>
      <c r="N49" s="15" t="s">
        <v>1135</v>
      </c>
      <c r="O49" s="15" t="s">
        <v>1311</v>
      </c>
      <c r="P49" s="15"/>
      <c r="Q49" s="15"/>
      <c r="R49" s="15">
        <v>36013642</v>
      </c>
      <c r="S49" s="15">
        <v>1</v>
      </c>
      <c r="T49" s="17">
        <v>38933.129999999997</v>
      </c>
      <c r="U49" s="17">
        <f t="shared" si="0"/>
        <v>38933.129999999997</v>
      </c>
      <c r="V49" s="15" t="s">
        <v>1138</v>
      </c>
      <c r="W49" s="15" t="s">
        <v>1138</v>
      </c>
      <c r="X49" s="15" t="s">
        <v>1138</v>
      </c>
      <c r="Y49" s="15" t="s">
        <v>1135</v>
      </c>
      <c r="Z49" s="15" t="s">
        <v>1139</v>
      </c>
      <c r="AA49" s="15" t="s">
        <v>2153</v>
      </c>
      <c r="AB49" s="13">
        <v>46073</v>
      </c>
      <c r="AC49" s="14"/>
    </row>
    <row r="50" spans="1:29" x14ac:dyDescent="0.35">
      <c r="A50" s="15">
        <v>49</v>
      </c>
      <c r="B50" s="15" t="s">
        <v>1307</v>
      </c>
      <c r="C50" s="16" t="s">
        <v>1308</v>
      </c>
      <c r="D50" s="15" t="s">
        <v>332</v>
      </c>
      <c r="E50" s="13">
        <v>46013</v>
      </c>
      <c r="F50" s="15" t="s">
        <v>1309</v>
      </c>
      <c r="G50" s="15" t="s">
        <v>1135</v>
      </c>
      <c r="H50" s="15" t="s">
        <v>56</v>
      </c>
      <c r="I50" s="18" t="s">
        <v>1134</v>
      </c>
      <c r="J50" s="15"/>
      <c r="K50" s="15" t="s">
        <v>1135</v>
      </c>
      <c r="L50" s="15" t="s">
        <v>1135</v>
      </c>
      <c r="M50" s="18" t="s">
        <v>1312</v>
      </c>
      <c r="N50" s="15" t="s">
        <v>1135</v>
      </c>
      <c r="O50" s="15" t="s">
        <v>1313</v>
      </c>
      <c r="P50" s="15"/>
      <c r="Q50" s="15"/>
      <c r="R50" s="15">
        <v>36469403</v>
      </c>
      <c r="S50" s="15">
        <v>1</v>
      </c>
      <c r="T50" s="17">
        <v>38933.129999999997</v>
      </c>
      <c r="U50" s="17">
        <f t="shared" si="0"/>
        <v>38933.129999999997</v>
      </c>
      <c r="V50" s="15" t="s">
        <v>1138</v>
      </c>
      <c r="W50" s="15" t="s">
        <v>1138</v>
      </c>
      <c r="X50" s="15" t="s">
        <v>1138</v>
      </c>
      <c r="Y50" s="15" t="s">
        <v>1135</v>
      </c>
      <c r="Z50" s="15" t="s">
        <v>1139</v>
      </c>
      <c r="AA50" s="15" t="s">
        <v>2153</v>
      </c>
      <c r="AB50" s="13">
        <v>46073</v>
      </c>
      <c r="AC50" s="14"/>
    </row>
    <row r="51" spans="1:29" x14ac:dyDescent="0.35">
      <c r="A51" s="15">
        <v>50</v>
      </c>
      <c r="B51" s="15" t="s">
        <v>1307</v>
      </c>
      <c r="C51" s="16" t="s">
        <v>1308</v>
      </c>
      <c r="D51" s="15" t="s">
        <v>332</v>
      </c>
      <c r="E51" s="13">
        <v>46013</v>
      </c>
      <c r="F51" s="15" t="s">
        <v>1309</v>
      </c>
      <c r="G51" s="15" t="s">
        <v>1135</v>
      </c>
      <c r="H51" s="15" t="s">
        <v>56</v>
      </c>
      <c r="I51" s="18" t="s">
        <v>1134</v>
      </c>
      <c r="J51" s="15"/>
      <c r="K51" s="15" t="s">
        <v>1135</v>
      </c>
      <c r="L51" s="15" t="s">
        <v>1135</v>
      </c>
      <c r="M51" s="18" t="s">
        <v>1314</v>
      </c>
      <c r="N51" s="15" t="s">
        <v>1135</v>
      </c>
      <c r="O51" s="15" t="s">
        <v>1315</v>
      </c>
      <c r="P51" s="15"/>
      <c r="Q51" s="15"/>
      <c r="R51" s="15">
        <v>35712210</v>
      </c>
      <c r="S51" s="15">
        <v>1</v>
      </c>
      <c r="T51" s="17">
        <v>6920</v>
      </c>
      <c r="U51" s="17">
        <f t="shared" si="0"/>
        <v>6920</v>
      </c>
      <c r="V51" s="15" t="s">
        <v>1138</v>
      </c>
      <c r="W51" s="15" t="s">
        <v>1138</v>
      </c>
      <c r="X51" s="15" t="s">
        <v>1138</v>
      </c>
      <c r="Y51" s="15" t="s">
        <v>1135</v>
      </c>
      <c r="Z51" s="15" t="s">
        <v>1139</v>
      </c>
      <c r="AA51" s="15" t="s">
        <v>2153</v>
      </c>
      <c r="AB51" s="13">
        <v>46073</v>
      </c>
      <c r="AC51" s="14"/>
    </row>
    <row r="52" spans="1:29" x14ac:dyDescent="0.35">
      <c r="A52" s="15">
        <v>51</v>
      </c>
      <c r="B52" s="15" t="s">
        <v>1316</v>
      </c>
      <c r="C52" s="16" t="s">
        <v>1317</v>
      </c>
      <c r="D52" s="15" t="s">
        <v>346</v>
      </c>
      <c r="E52" s="13">
        <v>46013</v>
      </c>
      <c r="F52" s="15" t="s">
        <v>1318</v>
      </c>
      <c r="G52" s="13">
        <v>46013</v>
      </c>
      <c r="H52" s="15" t="s">
        <v>56</v>
      </c>
      <c r="I52" s="15" t="s">
        <v>1134</v>
      </c>
      <c r="J52" s="15"/>
      <c r="K52" s="15" t="s">
        <v>1135</v>
      </c>
      <c r="L52" s="15" t="s">
        <v>1135</v>
      </c>
      <c r="M52" s="15" t="s">
        <v>1319</v>
      </c>
      <c r="N52" s="15" t="s">
        <v>1135</v>
      </c>
      <c r="O52" s="15" t="s">
        <v>1320</v>
      </c>
      <c r="P52" s="15"/>
      <c r="Q52" s="15"/>
      <c r="R52" s="15">
        <v>35465056</v>
      </c>
      <c r="S52" s="15">
        <v>1</v>
      </c>
      <c r="T52" s="17">
        <v>38933.129999999997</v>
      </c>
      <c r="U52" s="17">
        <f t="shared" si="0"/>
        <v>38933.129999999997</v>
      </c>
      <c r="V52" s="15" t="s">
        <v>1138</v>
      </c>
      <c r="W52" s="15" t="s">
        <v>1138</v>
      </c>
      <c r="X52" s="15" t="s">
        <v>1138</v>
      </c>
      <c r="Y52" s="15" t="s">
        <v>1135</v>
      </c>
      <c r="Z52" s="15" t="s">
        <v>1139</v>
      </c>
      <c r="AA52" s="15" t="s">
        <v>2153</v>
      </c>
      <c r="AB52" s="13">
        <v>46073</v>
      </c>
      <c r="AC52" s="14"/>
    </row>
    <row r="53" spans="1:29" x14ac:dyDescent="0.35">
      <c r="A53" s="15">
        <v>52</v>
      </c>
      <c r="B53" s="15" t="s">
        <v>1316</v>
      </c>
      <c r="C53" s="16" t="s">
        <v>1317</v>
      </c>
      <c r="D53" s="15" t="s">
        <v>346</v>
      </c>
      <c r="E53" s="13">
        <v>46013</v>
      </c>
      <c r="F53" s="15" t="s">
        <v>1318</v>
      </c>
      <c r="G53" s="13">
        <v>46013</v>
      </c>
      <c r="H53" s="15" t="s">
        <v>56</v>
      </c>
      <c r="I53" s="15" t="s">
        <v>1134</v>
      </c>
      <c r="J53" s="15"/>
      <c r="K53" s="15" t="s">
        <v>1135</v>
      </c>
      <c r="L53" s="15" t="s">
        <v>1135</v>
      </c>
      <c r="M53" s="18" t="s">
        <v>1321</v>
      </c>
      <c r="N53" s="15" t="s">
        <v>1135</v>
      </c>
      <c r="O53" s="15" t="s">
        <v>1204</v>
      </c>
      <c r="P53" s="15"/>
      <c r="Q53" s="15"/>
      <c r="R53" s="15">
        <v>35447549</v>
      </c>
      <c r="S53" s="15">
        <v>1</v>
      </c>
      <c r="T53" s="17">
        <v>38933.129999999997</v>
      </c>
      <c r="U53" s="17">
        <f t="shared" si="0"/>
        <v>38933.129999999997</v>
      </c>
      <c r="V53" s="15" t="s">
        <v>1138</v>
      </c>
      <c r="W53" s="15" t="s">
        <v>1138</v>
      </c>
      <c r="X53" s="15" t="s">
        <v>1138</v>
      </c>
      <c r="Y53" s="15" t="s">
        <v>1135</v>
      </c>
      <c r="Z53" s="15" t="s">
        <v>1139</v>
      </c>
      <c r="AA53" s="15" t="s">
        <v>2153</v>
      </c>
      <c r="AB53" s="13">
        <v>46073</v>
      </c>
      <c r="AC53" s="14"/>
    </row>
    <row r="54" spans="1:29" x14ac:dyDescent="0.35">
      <c r="A54" s="15">
        <v>53</v>
      </c>
      <c r="B54" s="15" t="s">
        <v>1322</v>
      </c>
      <c r="C54" s="16" t="s">
        <v>1323</v>
      </c>
      <c r="D54" s="15" t="s">
        <v>353</v>
      </c>
      <c r="E54" s="13">
        <v>46013</v>
      </c>
      <c r="F54" s="15" t="s">
        <v>1324</v>
      </c>
      <c r="G54" s="13">
        <v>46013</v>
      </c>
      <c r="H54" s="15" t="s">
        <v>56</v>
      </c>
      <c r="I54" s="15" t="s">
        <v>1134</v>
      </c>
      <c r="J54" s="15"/>
      <c r="K54" s="15" t="s">
        <v>1135</v>
      </c>
      <c r="L54" s="15" t="s">
        <v>1135</v>
      </c>
      <c r="M54" s="18" t="s">
        <v>1325</v>
      </c>
      <c r="N54" s="15" t="s">
        <v>1135</v>
      </c>
      <c r="O54" s="15" t="s">
        <v>1326</v>
      </c>
      <c r="P54" s="15"/>
      <c r="Q54" s="15"/>
      <c r="R54" s="15" t="s">
        <v>355</v>
      </c>
      <c r="S54" s="15">
        <v>1</v>
      </c>
      <c r="T54" s="17">
        <v>38393</v>
      </c>
      <c r="U54" s="17">
        <f t="shared" si="0"/>
        <v>38393</v>
      </c>
      <c r="V54" s="15" t="s">
        <v>1138</v>
      </c>
      <c r="W54" s="15" t="s">
        <v>1138</v>
      </c>
      <c r="X54" s="15" t="s">
        <v>1138</v>
      </c>
      <c r="Y54" s="15" t="s">
        <v>1135</v>
      </c>
      <c r="Z54" s="15" t="s">
        <v>1139</v>
      </c>
      <c r="AA54" s="15" t="s">
        <v>2153</v>
      </c>
      <c r="AB54" s="13">
        <v>46073</v>
      </c>
      <c r="AC54" s="14"/>
    </row>
    <row r="55" spans="1:29" x14ac:dyDescent="0.35">
      <c r="A55" s="15">
        <v>54</v>
      </c>
      <c r="B55" s="15" t="s">
        <v>1322</v>
      </c>
      <c r="C55" s="16" t="s">
        <v>1323</v>
      </c>
      <c r="D55" s="15" t="s">
        <v>353</v>
      </c>
      <c r="E55" s="13">
        <v>46013</v>
      </c>
      <c r="F55" s="15" t="s">
        <v>1324</v>
      </c>
      <c r="G55" s="13">
        <v>46013</v>
      </c>
      <c r="H55" s="15" t="s">
        <v>56</v>
      </c>
      <c r="I55" s="15" t="s">
        <v>1134</v>
      </c>
      <c r="J55" s="15"/>
      <c r="K55" s="15" t="s">
        <v>1135</v>
      </c>
      <c r="L55" s="15" t="s">
        <v>1135</v>
      </c>
      <c r="M55" s="18" t="s">
        <v>1327</v>
      </c>
      <c r="N55" s="15" t="s">
        <v>1135</v>
      </c>
      <c r="O55" s="15" t="s">
        <v>1328</v>
      </c>
      <c r="P55" s="15"/>
      <c r="Q55" s="15"/>
      <c r="R55" s="15">
        <v>36248757</v>
      </c>
      <c r="S55" s="15">
        <v>1</v>
      </c>
      <c r="T55" s="17">
        <v>3571</v>
      </c>
      <c r="U55" s="17">
        <f t="shared" si="0"/>
        <v>3571</v>
      </c>
      <c r="V55" s="15" t="s">
        <v>1138</v>
      </c>
      <c r="W55" s="15" t="s">
        <v>1138</v>
      </c>
      <c r="X55" s="15" t="s">
        <v>1138</v>
      </c>
      <c r="Y55" s="15" t="s">
        <v>1135</v>
      </c>
      <c r="Z55" s="15" t="s">
        <v>1139</v>
      </c>
      <c r="AA55" s="15" t="s">
        <v>2153</v>
      </c>
      <c r="AB55" s="13">
        <v>46073</v>
      </c>
      <c r="AC55" s="14"/>
    </row>
    <row r="56" spans="1:29" x14ac:dyDescent="0.35">
      <c r="A56" s="15">
        <v>55</v>
      </c>
      <c r="B56" s="15" t="s">
        <v>1322</v>
      </c>
      <c r="C56" s="16" t="s">
        <v>1323</v>
      </c>
      <c r="D56" s="15" t="s">
        <v>353</v>
      </c>
      <c r="E56" s="13">
        <v>46013</v>
      </c>
      <c r="F56" s="15" t="s">
        <v>1324</v>
      </c>
      <c r="G56" s="13">
        <v>46013</v>
      </c>
      <c r="H56" s="15" t="s">
        <v>56</v>
      </c>
      <c r="I56" s="15" t="s">
        <v>1134</v>
      </c>
      <c r="J56" s="15"/>
      <c r="K56" s="15" t="s">
        <v>1135</v>
      </c>
      <c r="L56" s="15" t="s">
        <v>1135</v>
      </c>
      <c r="M56" s="18" t="s">
        <v>1329</v>
      </c>
      <c r="N56" s="15" t="s">
        <v>1135</v>
      </c>
      <c r="O56" s="15" t="s">
        <v>365</v>
      </c>
      <c r="P56" s="15"/>
      <c r="Q56" s="15"/>
      <c r="R56" s="15">
        <v>36265238</v>
      </c>
      <c r="S56" s="15">
        <v>1</v>
      </c>
      <c r="T56" s="17">
        <v>43750</v>
      </c>
      <c r="U56" s="17">
        <f t="shared" si="0"/>
        <v>43750</v>
      </c>
      <c r="V56" s="15" t="s">
        <v>1138</v>
      </c>
      <c r="W56" s="15" t="s">
        <v>1138</v>
      </c>
      <c r="X56" s="15" t="s">
        <v>1138</v>
      </c>
      <c r="Y56" s="15" t="s">
        <v>1135</v>
      </c>
      <c r="Z56" s="15" t="s">
        <v>1139</v>
      </c>
      <c r="AA56" s="15" t="s">
        <v>2153</v>
      </c>
      <c r="AB56" s="13">
        <v>46073</v>
      </c>
      <c r="AC56" s="14"/>
    </row>
    <row r="57" spans="1:29" x14ac:dyDescent="0.35">
      <c r="A57" s="15">
        <v>56</v>
      </c>
      <c r="B57" s="15" t="s">
        <v>1330</v>
      </c>
      <c r="C57" s="16" t="s">
        <v>1331</v>
      </c>
      <c r="D57" s="15" t="s">
        <v>373</v>
      </c>
      <c r="E57" s="13">
        <v>46014</v>
      </c>
      <c r="F57" s="15" t="s">
        <v>1332</v>
      </c>
      <c r="G57" s="13">
        <v>46014</v>
      </c>
      <c r="H57" s="15" t="s">
        <v>56</v>
      </c>
      <c r="I57" s="15" t="s">
        <v>1134</v>
      </c>
      <c r="J57" s="15"/>
      <c r="K57" s="15" t="s">
        <v>1135</v>
      </c>
      <c r="L57" s="15" t="s">
        <v>1135</v>
      </c>
      <c r="M57" s="18" t="s">
        <v>1333</v>
      </c>
      <c r="N57" s="18" t="s">
        <v>1334</v>
      </c>
      <c r="O57" s="15" t="s">
        <v>1260</v>
      </c>
      <c r="P57" s="15"/>
      <c r="Q57" s="15"/>
      <c r="R57" s="15">
        <v>36580760</v>
      </c>
      <c r="S57" s="15">
        <v>1</v>
      </c>
      <c r="T57" s="17">
        <v>6920</v>
      </c>
      <c r="U57" s="17">
        <f t="shared" si="0"/>
        <v>6920</v>
      </c>
      <c r="V57" s="15" t="s">
        <v>1138</v>
      </c>
      <c r="W57" s="15" t="s">
        <v>1138</v>
      </c>
      <c r="X57" s="15" t="s">
        <v>1138</v>
      </c>
      <c r="Y57" s="15" t="s">
        <v>1135</v>
      </c>
      <c r="Z57" s="15" t="s">
        <v>1139</v>
      </c>
      <c r="AA57" s="15" t="s">
        <v>2153</v>
      </c>
      <c r="AB57" s="13">
        <v>46073</v>
      </c>
      <c r="AC57" s="14"/>
    </row>
    <row r="58" spans="1:29" x14ac:dyDescent="0.35">
      <c r="A58" s="15">
        <v>57</v>
      </c>
      <c r="B58" s="15" t="s">
        <v>1335</v>
      </c>
      <c r="C58" s="16" t="s">
        <v>1336</v>
      </c>
      <c r="D58" s="15" t="s">
        <v>380</v>
      </c>
      <c r="E58" s="13">
        <v>46015</v>
      </c>
      <c r="F58" s="15" t="s">
        <v>1337</v>
      </c>
      <c r="G58" s="13">
        <v>46015</v>
      </c>
      <c r="H58" s="15" t="s">
        <v>56</v>
      </c>
      <c r="I58" s="18" t="s">
        <v>1134</v>
      </c>
      <c r="J58" s="15"/>
      <c r="K58" s="15" t="s">
        <v>1135</v>
      </c>
      <c r="L58" s="15" t="s">
        <v>1135</v>
      </c>
      <c r="M58" s="15" t="s">
        <v>1338</v>
      </c>
      <c r="N58" s="18" t="s">
        <v>1339</v>
      </c>
      <c r="O58" s="15" t="s">
        <v>1340</v>
      </c>
      <c r="P58" s="15"/>
      <c r="Q58" s="15"/>
      <c r="R58" s="15">
        <v>35340677</v>
      </c>
      <c r="S58" s="15">
        <v>1</v>
      </c>
      <c r="T58" s="17">
        <v>38933.1</v>
      </c>
      <c r="U58" s="17">
        <f t="shared" si="0"/>
        <v>38933.1</v>
      </c>
      <c r="V58" s="15" t="s">
        <v>1138</v>
      </c>
      <c r="W58" s="15" t="s">
        <v>1138</v>
      </c>
      <c r="X58" s="15" t="s">
        <v>1138</v>
      </c>
      <c r="Y58" s="15" t="s">
        <v>1135</v>
      </c>
      <c r="Z58" s="15" t="s">
        <v>1139</v>
      </c>
      <c r="AA58" s="15" t="s">
        <v>2153</v>
      </c>
      <c r="AB58" s="13">
        <v>46073</v>
      </c>
      <c r="AC58" s="14"/>
    </row>
    <row r="59" spans="1:29" x14ac:dyDescent="0.35">
      <c r="A59" s="15">
        <v>58</v>
      </c>
      <c r="B59" s="15" t="s">
        <v>1335</v>
      </c>
      <c r="C59" s="16" t="s">
        <v>1336</v>
      </c>
      <c r="D59" s="15" t="s">
        <v>380</v>
      </c>
      <c r="E59" s="13">
        <v>46015</v>
      </c>
      <c r="F59" s="15" t="s">
        <v>1337</v>
      </c>
      <c r="G59" s="13">
        <v>46015</v>
      </c>
      <c r="H59" s="15" t="s">
        <v>56</v>
      </c>
      <c r="I59" s="18" t="s">
        <v>1134</v>
      </c>
      <c r="J59" s="15"/>
      <c r="K59" s="15" t="s">
        <v>1135</v>
      </c>
      <c r="L59" s="15" t="s">
        <v>1135</v>
      </c>
      <c r="M59" s="18" t="s">
        <v>1341</v>
      </c>
      <c r="N59" s="18" t="s">
        <v>1339</v>
      </c>
      <c r="O59" s="15" t="s">
        <v>1342</v>
      </c>
      <c r="P59" s="15"/>
      <c r="Q59" s="15"/>
      <c r="R59" s="15">
        <v>35272762</v>
      </c>
      <c r="S59" s="15">
        <v>1</v>
      </c>
      <c r="T59" s="17">
        <v>38933.1</v>
      </c>
      <c r="U59" s="17">
        <f t="shared" si="0"/>
        <v>38933.1</v>
      </c>
      <c r="V59" s="15" t="s">
        <v>1138</v>
      </c>
      <c r="W59" s="15" t="s">
        <v>1138</v>
      </c>
      <c r="X59" s="15" t="s">
        <v>1138</v>
      </c>
      <c r="Y59" s="15" t="s">
        <v>1135</v>
      </c>
      <c r="Z59" s="15" t="s">
        <v>1139</v>
      </c>
      <c r="AA59" s="15" t="s">
        <v>2153</v>
      </c>
      <c r="AB59" s="13">
        <v>46073</v>
      </c>
      <c r="AC59" s="14"/>
    </row>
    <row r="60" spans="1:29" x14ac:dyDescent="0.35">
      <c r="A60" s="15">
        <v>59</v>
      </c>
      <c r="B60" s="15" t="s">
        <v>1343</v>
      </c>
      <c r="C60" s="16" t="s">
        <v>1344</v>
      </c>
      <c r="D60" s="15" t="s">
        <v>385</v>
      </c>
      <c r="E60" s="13">
        <v>46015</v>
      </c>
      <c r="F60" s="15" t="s">
        <v>1345</v>
      </c>
      <c r="G60" s="13">
        <v>46015</v>
      </c>
      <c r="H60" s="15" t="s">
        <v>56</v>
      </c>
      <c r="I60" s="18" t="s">
        <v>1134</v>
      </c>
      <c r="J60" s="15"/>
      <c r="K60" s="15" t="s">
        <v>1135</v>
      </c>
      <c r="L60" s="15" t="s">
        <v>1135</v>
      </c>
      <c r="M60" s="18" t="s">
        <v>1346</v>
      </c>
      <c r="N60" s="18" t="s">
        <v>1347</v>
      </c>
      <c r="O60" s="15" t="s">
        <v>262</v>
      </c>
      <c r="P60" s="15"/>
      <c r="Q60" s="15"/>
      <c r="R60" s="15">
        <v>37065297</v>
      </c>
      <c r="S60" s="15">
        <v>1</v>
      </c>
      <c r="T60" s="17">
        <v>3571</v>
      </c>
      <c r="U60" s="17">
        <f t="shared" si="0"/>
        <v>3571</v>
      </c>
      <c r="V60" s="15" t="s">
        <v>1138</v>
      </c>
      <c r="W60" s="15" t="s">
        <v>1138</v>
      </c>
      <c r="X60" s="15" t="s">
        <v>1138</v>
      </c>
      <c r="Y60" s="15" t="s">
        <v>1135</v>
      </c>
      <c r="Z60" s="15" t="s">
        <v>1139</v>
      </c>
      <c r="AA60" s="15" t="s">
        <v>2153</v>
      </c>
      <c r="AB60" s="13">
        <v>46073</v>
      </c>
      <c r="AC60" s="14"/>
    </row>
    <row r="61" spans="1:29" x14ac:dyDescent="0.35">
      <c r="A61" s="15">
        <v>60</v>
      </c>
      <c r="B61" s="15" t="s">
        <v>1348</v>
      </c>
      <c r="C61" s="16" t="s">
        <v>1349</v>
      </c>
      <c r="D61" s="15" t="s">
        <v>391</v>
      </c>
      <c r="E61" s="13">
        <v>46017</v>
      </c>
      <c r="F61" s="15" t="s">
        <v>1350</v>
      </c>
      <c r="G61" s="13">
        <v>46017</v>
      </c>
      <c r="H61" s="15" t="s">
        <v>56</v>
      </c>
      <c r="I61" s="15" t="s">
        <v>1134</v>
      </c>
      <c r="J61" s="15"/>
      <c r="K61" s="15" t="s">
        <v>1135</v>
      </c>
      <c r="L61" s="15" t="s">
        <v>1135</v>
      </c>
      <c r="M61" s="15" t="s">
        <v>1351</v>
      </c>
      <c r="N61" s="18" t="s">
        <v>1352</v>
      </c>
      <c r="O61" s="15" t="s">
        <v>1260</v>
      </c>
      <c r="P61" s="15"/>
      <c r="Q61" s="15"/>
      <c r="R61" s="15">
        <v>36262019</v>
      </c>
      <c r="S61" s="15">
        <v>1</v>
      </c>
      <c r="T61" s="17">
        <v>6920</v>
      </c>
      <c r="U61" s="17">
        <f t="shared" si="0"/>
        <v>6920</v>
      </c>
      <c r="V61" s="15" t="s">
        <v>1138</v>
      </c>
      <c r="W61" s="15" t="s">
        <v>1138</v>
      </c>
      <c r="X61" s="15" t="s">
        <v>1138</v>
      </c>
      <c r="Y61" s="15" t="s">
        <v>1135</v>
      </c>
      <c r="Z61" s="15" t="s">
        <v>1139</v>
      </c>
      <c r="AA61" s="15" t="s">
        <v>2153</v>
      </c>
      <c r="AB61" s="13">
        <v>46073</v>
      </c>
      <c r="AC61" s="14"/>
    </row>
    <row r="62" spans="1:29" x14ac:dyDescent="0.35">
      <c r="A62" s="15">
        <v>61</v>
      </c>
      <c r="B62" s="15" t="s">
        <v>1353</v>
      </c>
      <c r="C62" s="16" t="s">
        <v>1354</v>
      </c>
      <c r="D62" s="15" t="s">
        <v>396</v>
      </c>
      <c r="E62" s="13">
        <v>46020</v>
      </c>
      <c r="F62" s="15" t="s">
        <v>1355</v>
      </c>
      <c r="G62" s="13">
        <v>46020</v>
      </c>
      <c r="H62" s="15" t="s">
        <v>56</v>
      </c>
      <c r="I62" s="18" t="s">
        <v>1134</v>
      </c>
      <c r="J62" s="15"/>
      <c r="K62" s="15" t="s">
        <v>1135</v>
      </c>
      <c r="L62" s="15" t="s">
        <v>1135</v>
      </c>
      <c r="M62" s="18" t="s">
        <v>1356</v>
      </c>
      <c r="N62" s="15" t="s">
        <v>1135</v>
      </c>
      <c r="O62" s="15" t="s">
        <v>1357</v>
      </c>
      <c r="P62" s="15"/>
      <c r="Q62" s="15"/>
      <c r="R62" s="15">
        <v>36141692</v>
      </c>
      <c r="S62" s="15">
        <v>1</v>
      </c>
      <c r="T62" s="17">
        <v>38933.1</v>
      </c>
      <c r="U62" s="17">
        <f t="shared" si="0"/>
        <v>38933.1</v>
      </c>
      <c r="V62" s="15" t="s">
        <v>1138</v>
      </c>
      <c r="W62" s="15" t="s">
        <v>1138</v>
      </c>
      <c r="X62" s="15" t="s">
        <v>1138</v>
      </c>
      <c r="Y62" s="15" t="s">
        <v>1135</v>
      </c>
      <c r="Z62" s="15" t="s">
        <v>1139</v>
      </c>
      <c r="AA62" s="15" t="s">
        <v>2153</v>
      </c>
      <c r="AB62" s="13">
        <v>46073</v>
      </c>
      <c r="AC62" s="14"/>
    </row>
    <row r="63" spans="1:29" x14ac:dyDescent="0.35">
      <c r="A63" s="15">
        <v>62</v>
      </c>
      <c r="B63" s="15" t="s">
        <v>1353</v>
      </c>
      <c r="C63" s="16" t="s">
        <v>1354</v>
      </c>
      <c r="D63" s="15" t="s">
        <v>396</v>
      </c>
      <c r="E63" s="13">
        <v>46020</v>
      </c>
      <c r="F63" s="15" t="s">
        <v>1355</v>
      </c>
      <c r="G63" s="13">
        <v>46020</v>
      </c>
      <c r="H63" s="15" t="s">
        <v>56</v>
      </c>
      <c r="I63" s="18" t="s">
        <v>1134</v>
      </c>
      <c r="J63" s="15"/>
      <c r="K63" s="15" t="s">
        <v>1135</v>
      </c>
      <c r="L63" s="15" t="s">
        <v>1135</v>
      </c>
      <c r="M63" s="18" t="s">
        <v>1358</v>
      </c>
      <c r="N63" s="15" t="s">
        <v>1135</v>
      </c>
      <c r="O63" s="15" t="s">
        <v>147</v>
      </c>
      <c r="P63" s="15"/>
      <c r="Q63" s="15"/>
      <c r="R63" s="15">
        <v>36579944</v>
      </c>
      <c r="S63" s="15">
        <v>1</v>
      </c>
      <c r="T63" s="17">
        <v>3572</v>
      </c>
      <c r="U63" s="17">
        <f t="shared" si="0"/>
        <v>3572</v>
      </c>
      <c r="V63" s="15" t="s">
        <v>1138</v>
      </c>
      <c r="W63" s="15" t="s">
        <v>1138</v>
      </c>
      <c r="X63" s="15" t="s">
        <v>1138</v>
      </c>
      <c r="Y63" s="15" t="s">
        <v>1135</v>
      </c>
      <c r="Z63" s="15" t="s">
        <v>1139</v>
      </c>
      <c r="AA63" s="15" t="s">
        <v>2153</v>
      </c>
      <c r="AB63" s="13">
        <v>46073</v>
      </c>
      <c r="AC63" s="14"/>
    </row>
    <row r="64" spans="1:29" x14ac:dyDescent="0.35">
      <c r="A64" s="15">
        <v>63</v>
      </c>
      <c r="B64" s="15" t="s">
        <v>1359</v>
      </c>
      <c r="C64" s="16" t="s">
        <v>1360</v>
      </c>
      <c r="D64" s="15" t="s">
        <v>403</v>
      </c>
      <c r="E64" s="13">
        <v>46020</v>
      </c>
      <c r="F64" s="15" t="s">
        <v>1361</v>
      </c>
      <c r="G64" s="13">
        <v>46020</v>
      </c>
      <c r="H64" s="15" t="s">
        <v>56</v>
      </c>
      <c r="I64" s="15" t="s">
        <v>1134</v>
      </c>
      <c r="J64" s="15"/>
      <c r="K64" s="15" t="s">
        <v>1135</v>
      </c>
      <c r="L64" s="15" t="s">
        <v>1135</v>
      </c>
      <c r="M64" s="18" t="s">
        <v>1362</v>
      </c>
      <c r="N64" s="18" t="s">
        <v>1363</v>
      </c>
      <c r="O64" s="15" t="s">
        <v>169</v>
      </c>
      <c r="P64" s="15"/>
      <c r="Q64" s="15"/>
      <c r="R64" s="15">
        <v>37054630</v>
      </c>
      <c r="S64" s="15">
        <v>1</v>
      </c>
      <c r="T64" s="17">
        <v>3571</v>
      </c>
      <c r="U64" s="17">
        <f t="shared" si="0"/>
        <v>3571</v>
      </c>
      <c r="V64" s="15" t="s">
        <v>1138</v>
      </c>
      <c r="W64" s="15" t="s">
        <v>1138</v>
      </c>
      <c r="X64" s="15" t="s">
        <v>1138</v>
      </c>
      <c r="Y64" s="15" t="s">
        <v>1135</v>
      </c>
      <c r="Z64" s="15" t="s">
        <v>1139</v>
      </c>
      <c r="AA64" s="15" t="s">
        <v>2153</v>
      </c>
      <c r="AB64" s="13">
        <v>46073</v>
      </c>
      <c r="AC64" s="14"/>
    </row>
    <row r="65" spans="1:29" x14ac:dyDescent="0.35">
      <c r="A65" s="15">
        <v>64</v>
      </c>
      <c r="B65" s="15" t="s">
        <v>1364</v>
      </c>
      <c r="C65" s="16" t="s">
        <v>1365</v>
      </c>
      <c r="D65" s="15" t="s">
        <v>410</v>
      </c>
      <c r="E65" s="13">
        <v>46021</v>
      </c>
      <c r="F65" s="15" t="s">
        <v>1135</v>
      </c>
      <c r="G65" s="15" t="s">
        <v>1135</v>
      </c>
      <c r="H65" s="15" t="s">
        <v>56</v>
      </c>
      <c r="I65" s="18" t="s">
        <v>1134</v>
      </c>
      <c r="J65" s="15"/>
      <c r="K65" s="15" t="s">
        <v>1135</v>
      </c>
      <c r="L65" s="15" t="s">
        <v>1135</v>
      </c>
      <c r="M65" s="18" t="s">
        <v>1366</v>
      </c>
      <c r="N65" s="18" t="s">
        <v>1367</v>
      </c>
      <c r="O65" s="15" t="s">
        <v>1368</v>
      </c>
      <c r="P65" s="15"/>
      <c r="Q65" s="15"/>
      <c r="R65" s="15">
        <v>36603652</v>
      </c>
      <c r="S65" s="15">
        <v>1</v>
      </c>
      <c r="T65" s="17">
        <v>0</v>
      </c>
      <c r="U65" s="17">
        <f t="shared" si="0"/>
        <v>0</v>
      </c>
      <c r="V65" s="15" t="s">
        <v>1138</v>
      </c>
      <c r="W65" s="15" t="s">
        <v>1138</v>
      </c>
      <c r="X65" s="15" t="s">
        <v>1138</v>
      </c>
      <c r="Y65" s="15" t="s">
        <v>2166</v>
      </c>
      <c r="Z65" s="15" t="s">
        <v>1139</v>
      </c>
      <c r="AA65" s="15" t="s">
        <v>2153</v>
      </c>
      <c r="AB65" s="13">
        <v>46073</v>
      </c>
      <c r="AC65" s="14"/>
    </row>
    <row r="66" spans="1:29" x14ac:dyDescent="0.35">
      <c r="A66" s="15">
        <v>65</v>
      </c>
      <c r="B66" s="15" t="s">
        <v>1369</v>
      </c>
      <c r="C66" s="16" t="s">
        <v>1370</v>
      </c>
      <c r="D66" s="15" t="s">
        <v>412</v>
      </c>
      <c r="E66" s="13">
        <v>46021</v>
      </c>
      <c r="F66" s="15" t="s">
        <v>1371</v>
      </c>
      <c r="G66" s="13">
        <v>46021</v>
      </c>
      <c r="H66" s="15" t="s">
        <v>56</v>
      </c>
      <c r="I66" s="18" t="s">
        <v>1134</v>
      </c>
      <c r="J66" s="15"/>
      <c r="K66" s="15" t="s">
        <v>1135</v>
      </c>
      <c r="L66" s="15" t="s">
        <v>1135</v>
      </c>
      <c r="M66" s="15" t="s">
        <v>1372</v>
      </c>
      <c r="N66" s="15" t="s">
        <v>1135</v>
      </c>
      <c r="O66" s="15" t="s">
        <v>1373</v>
      </c>
      <c r="P66" s="15"/>
      <c r="Q66" s="15"/>
      <c r="R66" s="15">
        <v>35792049</v>
      </c>
      <c r="S66" s="15">
        <v>1</v>
      </c>
      <c r="T66" s="17">
        <v>19500</v>
      </c>
      <c r="U66" s="17">
        <f t="shared" ref="U66:U129" si="1">T66*S66</f>
        <v>19500</v>
      </c>
      <c r="V66" s="15" t="s">
        <v>1138</v>
      </c>
      <c r="W66" s="15" t="s">
        <v>1138</v>
      </c>
      <c r="X66" s="15" t="s">
        <v>1138</v>
      </c>
      <c r="Y66" s="15" t="s">
        <v>1135</v>
      </c>
      <c r="Z66" s="15" t="s">
        <v>1139</v>
      </c>
      <c r="AA66" s="15" t="s">
        <v>2153</v>
      </c>
      <c r="AB66" s="13">
        <v>46073</v>
      </c>
      <c r="AC66" s="14"/>
    </row>
    <row r="67" spans="1:29" x14ac:dyDescent="0.35">
      <c r="A67" s="15">
        <v>66</v>
      </c>
      <c r="B67" s="15" t="s">
        <v>1369</v>
      </c>
      <c r="C67" s="16" t="s">
        <v>1370</v>
      </c>
      <c r="D67" s="15" t="s">
        <v>412</v>
      </c>
      <c r="E67" s="13">
        <v>46021</v>
      </c>
      <c r="F67" s="15" t="s">
        <v>1371</v>
      </c>
      <c r="G67" s="13">
        <v>46021</v>
      </c>
      <c r="H67" s="15" t="s">
        <v>56</v>
      </c>
      <c r="I67" s="18" t="s">
        <v>1134</v>
      </c>
      <c r="J67" s="15"/>
      <c r="K67" s="15" t="s">
        <v>1135</v>
      </c>
      <c r="L67" s="15" t="s">
        <v>1135</v>
      </c>
      <c r="M67" s="18" t="s">
        <v>1374</v>
      </c>
      <c r="N67" s="15" t="s">
        <v>1135</v>
      </c>
      <c r="O67" s="15" t="s">
        <v>1375</v>
      </c>
      <c r="P67" s="15"/>
      <c r="Q67" s="15"/>
      <c r="R67" s="15">
        <v>37054630</v>
      </c>
      <c r="S67" s="15">
        <v>1</v>
      </c>
      <c r="T67" s="17">
        <v>3571</v>
      </c>
      <c r="U67" s="17">
        <f t="shared" si="1"/>
        <v>3571</v>
      </c>
      <c r="V67" s="15" t="s">
        <v>1138</v>
      </c>
      <c r="W67" s="15" t="s">
        <v>1138</v>
      </c>
      <c r="X67" s="15" t="s">
        <v>1138</v>
      </c>
      <c r="Y67" s="15" t="s">
        <v>1135</v>
      </c>
      <c r="Z67" s="15" t="s">
        <v>1139</v>
      </c>
      <c r="AA67" s="15" t="s">
        <v>2153</v>
      </c>
      <c r="AB67" s="13">
        <v>46073</v>
      </c>
      <c r="AC67" s="14"/>
    </row>
    <row r="68" spans="1:29" x14ac:dyDescent="0.35">
      <c r="A68" s="15">
        <v>67</v>
      </c>
      <c r="B68" s="15" t="s">
        <v>1369</v>
      </c>
      <c r="C68" s="16" t="s">
        <v>1370</v>
      </c>
      <c r="D68" s="15" t="s">
        <v>412</v>
      </c>
      <c r="E68" s="13">
        <v>46021</v>
      </c>
      <c r="F68" s="15" t="s">
        <v>1371</v>
      </c>
      <c r="G68" s="13">
        <v>46021</v>
      </c>
      <c r="H68" s="15" t="s">
        <v>56</v>
      </c>
      <c r="I68" s="18" t="s">
        <v>1134</v>
      </c>
      <c r="J68" s="15"/>
      <c r="K68" s="15" t="s">
        <v>1135</v>
      </c>
      <c r="L68" s="15" t="s">
        <v>1135</v>
      </c>
      <c r="M68" s="18" t="s">
        <v>1376</v>
      </c>
      <c r="N68" s="15" t="s">
        <v>1135</v>
      </c>
      <c r="O68" s="15" t="s">
        <v>1377</v>
      </c>
      <c r="P68" s="15"/>
      <c r="Q68" s="15"/>
      <c r="R68" s="15" t="s">
        <v>414</v>
      </c>
      <c r="S68" s="15">
        <v>1</v>
      </c>
      <c r="T68" s="17">
        <v>38393</v>
      </c>
      <c r="U68" s="17">
        <f t="shared" si="1"/>
        <v>38393</v>
      </c>
      <c r="V68" s="15" t="s">
        <v>1138</v>
      </c>
      <c r="W68" s="15" t="s">
        <v>1138</v>
      </c>
      <c r="X68" s="15" t="s">
        <v>1138</v>
      </c>
      <c r="Y68" s="15" t="s">
        <v>1135</v>
      </c>
      <c r="Z68" s="15" t="s">
        <v>1139</v>
      </c>
      <c r="AA68" s="15" t="s">
        <v>2153</v>
      </c>
      <c r="AB68" s="13">
        <v>46073</v>
      </c>
      <c r="AC68" s="14"/>
    </row>
    <row r="69" spans="1:29" x14ac:dyDescent="0.35">
      <c r="A69" s="15">
        <v>68</v>
      </c>
      <c r="B69" s="15" t="s">
        <v>1378</v>
      </c>
      <c r="C69" s="16" t="s">
        <v>1379</v>
      </c>
      <c r="D69" s="15" t="s">
        <v>423</v>
      </c>
      <c r="E69" s="13">
        <v>46021</v>
      </c>
      <c r="F69" s="15" t="s">
        <v>1380</v>
      </c>
      <c r="G69" s="13">
        <v>46021</v>
      </c>
      <c r="H69" s="15" t="s">
        <v>56</v>
      </c>
      <c r="I69" s="15" t="s">
        <v>1134</v>
      </c>
      <c r="J69" s="15"/>
      <c r="K69" s="15" t="s">
        <v>1135</v>
      </c>
      <c r="L69" s="15" t="s">
        <v>1135</v>
      </c>
      <c r="M69" s="18" t="s">
        <v>1381</v>
      </c>
      <c r="N69" s="15" t="s">
        <v>1135</v>
      </c>
      <c r="O69" s="15" t="s">
        <v>169</v>
      </c>
      <c r="P69" s="15"/>
      <c r="Q69" s="15"/>
      <c r="R69" s="15">
        <v>37035209</v>
      </c>
      <c r="S69" s="15">
        <v>1</v>
      </c>
      <c r="T69" s="17">
        <v>3571</v>
      </c>
      <c r="U69" s="17">
        <f t="shared" si="1"/>
        <v>3571</v>
      </c>
      <c r="V69" s="15" t="s">
        <v>1138</v>
      </c>
      <c r="W69" s="15" t="s">
        <v>1138</v>
      </c>
      <c r="X69" s="15" t="s">
        <v>1138</v>
      </c>
      <c r="Y69" s="15" t="s">
        <v>1135</v>
      </c>
      <c r="Z69" s="15" t="s">
        <v>1139</v>
      </c>
      <c r="AA69" s="15" t="s">
        <v>2153</v>
      </c>
      <c r="AB69" s="13">
        <v>46073</v>
      </c>
      <c r="AC69" s="14"/>
    </row>
    <row r="70" spans="1:29" x14ac:dyDescent="0.35">
      <c r="A70" s="15">
        <v>69</v>
      </c>
      <c r="B70" s="15" t="s">
        <v>1382</v>
      </c>
      <c r="C70" s="16" t="s">
        <v>1383</v>
      </c>
      <c r="D70" s="15" t="s">
        <v>425</v>
      </c>
      <c r="E70" s="13">
        <v>46021</v>
      </c>
      <c r="F70" s="15" t="s">
        <v>1384</v>
      </c>
      <c r="G70" s="13">
        <v>46021</v>
      </c>
      <c r="H70" s="15" t="s">
        <v>56</v>
      </c>
      <c r="I70" s="18" t="s">
        <v>1134</v>
      </c>
      <c r="J70" s="15"/>
      <c r="K70" s="15" t="s">
        <v>1135</v>
      </c>
      <c r="L70" s="15" t="s">
        <v>1135</v>
      </c>
      <c r="M70" s="15" t="s">
        <v>1385</v>
      </c>
      <c r="N70" s="18" t="s">
        <v>1386</v>
      </c>
      <c r="O70" s="15" t="s">
        <v>1387</v>
      </c>
      <c r="P70" s="15"/>
      <c r="Q70" s="15"/>
      <c r="R70" s="15">
        <v>33987519</v>
      </c>
      <c r="S70" s="15">
        <v>1</v>
      </c>
      <c r="T70" s="17">
        <v>38933.1</v>
      </c>
      <c r="U70" s="17">
        <f t="shared" si="1"/>
        <v>38933.1</v>
      </c>
      <c r="V70" s="15" t="s">
        <v>1138</v>
      </c>
      <c r="W70" s="15" t="s">
        <v>1138</v>
      </c>
      <c r="X70" s="15" t="s">
        <v>1138</v>
      </c>
      <c r="Y70" s="15" t="s">
        <v>1135</v>
      </c>
      <c r="Z70" s="15" t="s">
        <v>1139</v>
      </c>
      <c r="AA70" s="15" t="s">
        <v>2153</v>
      </c>
      <c r="AB70" s="13">
        <v>46073</v>
      </c>
      <c r="AC70" s="14"/>
    </row>
    <row r="71" spans="1:29" x14ac:dyDescent="0.35">
      <c r="A71" s="15">
        <v>70</v>
      </c>
      <c r="B71" s="15" t="s">
        <v>1382</v>
      </c>
      <c r="C71" s="16" t="s">
        <v>1383</v>
      </c>
      <c r="D71" s="15" t="s">
        <v>425</v>
      </c>
      <c r="E71" s="13">
        <v>46021</v>
      </c>
      <c r="F71" s="15" t="s">
        <v>1384</v>
      </c>
      <c r="G71" s="13">
        <v>46021</v>
      </c>
      <c r="H71" s="15" t="s">
        <v>56</v>
      </c>
      <c r="I71" s="18" t="s">
        <v>1134</v>
      </c>
      <c r="J71" s="15"/>
      <c r="K71" s="15" t="s">
        <v>1135</v>
      </c>
      <c r="L71" s="15" t="s">
        <v>1135</v>
      </c>
      <c r="M71" s="18" t="s">
        <v>1388</v>
      </c>
      <c r="N71" s="18" t="s">
        <v>1386</v>
      </c>
      <c r="O71" s="15" t="s">
        <v>169</v>
      </c>
      <c r="P71" s="15"/>
      <c r="Q71" s="15"/>
      <c r="R71" s="15">
        <v>37000428</v>
      </c>
      <c r="S71" s="15">
        <v>1</v>
      </c>
      <c r="T71" s="17">
        <v>3571</v>
      </c>
      <c r="U71" s="17">
        <f t="shared" si="1"/>
        <v>3571</v>
      </c>
      <c r="V71" s="15" t="s">
        <v>1138</v>
      </c>
      <c r="W71" s="15" t="s">
        <v>1138</v>
      </c>
      <c r="X71" s="15" t="s">
        <v>1138</v>
      </c>
      <c r="Y71" s="15" t="s">
        <v>1135</v>
      </c>
      <c r="Z71" s="15" t="s">
        <v>1139</v>
      </c>
      <c r="AA71" s="15" t="s">
        <v>2153</v>
      </c>
      <c r="AB71" s="13">
        <v>46073</v>
      </c>
      <c r="AC71" s="14"/>
    </row>
    <row r="72" spans="1:29" x14ac:dyDescent="0.35">
      <c r="A72" s="15">
        <v>71</v>
      </c>
      <c r="B72" s="15" t="s">
        <v>1382</v>
      </c>
      <c r="C72" s="16" t="s">
        <v>1383</v>
      </c>
      <c r="D72" s="15" t="s">
        <v>425</v>
      </c>
      <c r="E72" s="13">
        <v>46021</v>
      </c>
      <c r="F72" s="15" t="s">
        <v>1384</v>
      </c>
      <c r="G72" s="13">
        <v>46021</v>
      </c>
      <c r="H72" s="15" t="s">
        <v>56</v>
      </c>
      <c r="I72" s="18" t="s">
        <v>1134</v>
      </c>
      <c r="J72" s="15"/>
      <c r="K72" s="15" t="s">
        <v>1135</v>
      </c>
      <c r="L72" s="15" t="s">
        <v>1135</v>
      </c>
      <c r="M72" s="18" t="s">
        <v>1389</v>
      </c>
      <c r="N72" s="18" t="s">
        <v>1386</v>
      </c>
      <c r="O72" s="15" t="s">
        <v>1204</v>
      </c>
      <c r="P72" s="15"/>
      <c r="Q72" s="15"/>
      <c r="R72" s="15">
        <v>36422597</v>
      </c>
      <c r="S72" s="15">
        <v>1</v>
      </c>
      <c r="T72" s="17">
        <v>38933.1</v>
      </c>
      <c r="U72" s="17">
        <f t="shared" si="1"/>
        <v>38933.1</v>
      </c>
      <c r="V72" s="15" t="s">
        <v>1138</v>
      </c>
      <c r="W72" s="15" t="s">
        <v>1138</v>
      </c>
      <c r="X72" s="15" t="s">
        <v>1138</v>
      </c>
      <c r="Y72" s="15" t="s">
        <v>1135</v>
      </c>
      <c r="Z72" s="15" t="s">
        <v>1139</v>
      </c>
      <c r="AA72" s="15" t="s">
        <v>2153</v>
      </c>
      <c r="AB72" s="13">
        <v>46073</v>
      </c>
      <c r="AC72" s="14"/>
    </row>
    <row r="73" spans="1:29" x14ac:dyDescent="0.35">
      <c r="A73" s="15">
        <v>72</v>
      </c>
      <c r="B73" s="15" t="s">
        <v>1390</v>
      </c>
      <c r="C73" s="16" t="s">
        <v>1391</v>
      </c>
      <c r="D73" s="15" t="s">
        <v>446</v>
      </c>
      <c r="E73" s="13">
        <v>45962</v>
      </c>
      <c r="F73" s="15" t="s">
        <v>1392</v>
      </c>
      <c r="G73" s="13">
        <v>45962</v>
      </c>
      <c r="H73" s="15" t="s">
        <v>56</v>
      </c>
      <c r="I73" s="15" t="s">
        <v>1134</v>
      </c>
      <c r="J73" s="15"/>
      <c r="K73" s="15" t="s">
        <v>1135</v>
      </c>
      <c r="L73" s="15" t="s">
        <v>1135</v>
      </c>
      <c r="M73" s="18" t="s">
        <v>1393</v>
      </c>
      <c r="N73" s="15" t="s">
        <v>1135</v>
      </c>
      <c r="O73" s="15" t="s">
        <v>169</v>
      </c>
      <c r="P73" s="15"/>
      <c r="Q73" s="15"/>
      <c r="R73" s="15">
        <v>36353567</v>
      </c>
      <c r="S73" s="15">
        <v>1</v>
      </c>
      <c r="T73" s="17">
        <v>3571</v>
      </c>
      <c r="U73" s="17">
        <f t="shared" si="1"/>
        <v>3571</v>
      </c>
      <c r="V73" s="15" t="s">
        <v>1138</v>
      </c>
      <c r="W73" s="15" t="s">
        <v>1138</v>
      </c>
      <c r="X73" s="15" t="s">
        <v>1138</v>
      </c>
      <c r="Y73" s="15" t="s">
        <v>1135</v>
      </c>
      <c r="Z73" s="15" t="s">
        <v>1139</v>
      </c>
      <c r="AA73" s="15" t="s">
        <v>2153</v>
      </c>
      <c r="AB73" s="13">
        <v>46073</v>
      </c>
      <c r="AC73" s="14"/>
    </row>
    <row r="74" spans="1:29" x14ac:dyDescent="0.35">
      <c r="A74" s="15">
        <v>73</v>
      </c>
      <c r="B74" s="15" t="s">
        <v>1394</v>
      </c>
      <c r="C74" s="16" t="s">
        <v>1395</v>
      </c>
      <c r="D74" s="15" t="s">
        <v>451</v>
      </c>
      <c r="E74" s="13">
        <v>45964</v>
      </c>
      <c r="F74" s="15" t="s">
        <v>1396</v>
      </c>
      <c r="G74" s="13">
        <v>45964</v>
      </c>
      <c r="H74" s="15" t="s">
        <v>56</v>
      </c>
      <c r="I74" s="15" t="s">
        <v>1134</v>
      </c>
      <c r="J74" s="15"/>
      <c r="K74" s="15" t="s">
        <v>1135</v>
      </c>
      <c r="L74" s="15" t="s">
        <v>1135</v>
      </c>
      <c r="M74" s="18" t="s">
        <v>1397</v>
      </c>
      <c r="N74" s="18" t="s">
        <v>1398</v>
      </c>
      <c r="O74" s="15" t="s">
        <v>1399</v>
      </c>
      <c r="P74" s="15"/>
      <c r="Q74" s="15"/>
      <c r="R74" s="15">
        <v>34296577</v>
      </c>
      <c r="S74" s="15">
        <v>1</v>
      </c>
      <c r="T74" s="17">
        <v>38933.1</v>
      </c>
      <c r="U74" s="17">
        <f t="shared" si="1"/>
        <v>38933.1</v>
      </c>
      <c r="V74" s="15" t="s">
        <v>1138</v>
      </c>
      <c r="W74" s="15" t="s">
        <v>1138</v>
      </c>
      <c r="X74" s="15" t="s">
        <v>1138</v>
      </c>
      <c r="Y74" s="15" t="s">
        <v>1135</v>
      </c>
      <c r="Z74" s="15" t="s">
        <v>1139</v>
      </c>
      <c r="AA74" s="15" t="s">
        <v>2153</v>
      </c>
      <c r="AB74" s="13">
        <v>46073</v>
      </c>
      <c r="AC74" s="14"/>
    </row>
    <row r="75" spans="1:29" x14ac:dyDescent="0.35">
      <c r="A75" s="15">
        <v>74</v>
      </c>
      <c r="B75" s="15" t="s">
        <v>1394</v>
      </c>
      <c r="C75" s="16" t="s">
        <v>1395</v>
      </c>
      <c r="D75" s="15" t="s">
        <v>451</v>
      </c>
      <c r="E75" s="13">
        <v>45964</v>
      </c>
      <c r="F75" s="15" t="s">
        <v>1396</v>
      </c>
      <c r="G75" s="13">
        <v>45964</v>
      </c>
      <c r="H75" s="15" t="s">
        <v>56</v>
      </c>
      <c r="I75" s="15" t="s">
        <v>1134</v>
      </c>
      <c r="J75" s="15"/>
      <c r="K75" s="15" t="s">
        <v>1135</v>
      </c>
      <c r="L75" s="15" t="s">
        <v>1135</v>
      </c>
      <c r="M75" s="18" t="s">
        <v>1400</v>
      </c>
      <c r="N75" s="18" t="s">
        <v>1398</v>
      </c>
      <c r="O75" s="15" t="s">
        <v>1401</v>
      </c>
      <c r="P75" s="15"/>
      <c r="Q75" s="15"/>
      <c r="R75" s="15">
        <v>34475055</v>
      </c>
      <c r="S75" s="15">
        <v>1</v>
      </c>
      <c r="T75" s="17">
        <v>38933.1</v>
      </c>
      <c r="U75" s="17">
        <f t="shared" si="1"/>
        <v>38933.1</v>
      </c>
      <c r="V75" s="15" t="s">
        <v>1138</v>
      </c>
      <c r="W75" s="15" t="s">
        <v>1138</v>
      </c>
      <c r="X75" s="15" t="s">
        <v>1138</v>
      </c>
      <c r="Y75" s="15" t="s">
        <v>1135</v>
      </c>
      <c r="Z75" s="15" t="s">
        <v>1139</v>
      </c>
      <c r="AA75" s="15" t="s">
        <v>2153</v>
      </c>
      <c r="AB75" s="13">
        <v>46073</v>
      </c>
      <c r="AC75" s="14"/>
    </row>
    <row r="76" spans="1:29" x14ac:dyDescent="0.35">
      <c r="A76" s="15">
        <v>75</v>
      </c>
      <c r="B76" s="15" t="s">
        <v>1402</v>
      </c>
      <c r="C76" s="16" t="s">
        <v>1403</v>
      </c>
      <c r="D76" s="15" t="s">
        <v>468</v>
      </c>
      <c r="E76" s="13">
        <v>45966</v>
      </c>
      <c r="F76" s="15" t="s">
        <v>1404</v>
      </c>
      <c r="G76" s="13">
        <v>45966</v>
      </c>
      <c r="H76" s="15" t="s">
        <v>56</v>
      </c>
      <c r="I76" s="15" t="s">
        <v>1134</v>
      </c>
      <c r="J76" s="15"/>
      <c r="K76" s="15" t="s">
        <v>1135</v>
      </c>
      <c r="L76" s="15" t="s">
        <v>1135</v>
      </c>
      <c r="M76" s="18" t="s">
        <v>1405</v>
      </c>
      <c r="N76" s="18" t="s">
        <v>1406</v>
      </c>
      <c r="O76" s="15" t="s">
        <v>1407</v>
      </c>
      <c r="P76" s="15"/>
      <c r="Q76" s="15"/>
      <c r="R76" s="15">
        <v>32897167</v>
      </c>
      <c r="S76" s="15">
        <v>1</v>
      </c>
      <c r="T76" s="17">
        <v>6920</v>
      </c>
      <c r="U76" s="17">
        <f t="shared" si="1"/>
        <v>6920</v>
      </c>
      <c r="V76" s="15" t="s">
        <v>1138</v>
      </c>
      <c r="W76" s="15" t="s">
        <v>1138</v>
      </c>
      <c r="X76" s="15" t="s">
        <v>1138</v>
      </c>
      <c r="Y76" s="15" t="s">
        <v>1135</v>
      </c>
      <c r="Z76" s="15" t="s">
        <v>1139</v>
      </c>
      <c r="AA76" s="15" t="s">
        <v>2153</v>
      </c>
      <c r="AB76" s="13">
        <v>46073</v>
      </c>
      <c r="AC76" s="14"/>
    </row>
    <row r="77" spans="1:29" x14ac:dyDescent="0.35">
      <c r="A77" s="15">
        <v>76</v>
      </c>
      <c r="B77" s="15" t="s">
        <v>1394</v>
      </c>
      <c r="C77" s="16" t="s">
        <v>1395</v>
      </c>
      <c r="D77" s="15" t="s">
        <v>451</v>
      </c>
      <c r="E77" s="13">
        <v>45964</v>
      </c>
      <c r="F77" s="15" t="s">
        <v>1396</v>
      </c>
      <c r="G77" s="13">
        <v>45964</v>
      </c>
      <c r="H77" s="15" t="s">
        <v>56</v>
      </c>
      <c r="I77" s="15" t="s">
        <v>1134</v>
      </c>
      <c r="J77" s="15"/>
      <c r="K77" s="15" t="s">
        <v>1135</v>
      </c>
      <c r="L77" s="15" t="s">
        <v>1135</v>
      </c>
      <c r="M77" s="18" t="s">
        <v>1408</v>
      </c>
      <c r="N77" s="18" t="s">
        <v>1398</v>
      </c>
      <c r="O77" s="15" t="s">
        <v>262</v>
      </c>
      <c r="P77" s="15"/>
      <c r="Q77" s="15"/>
      <c r="R77" s="15">
        <v>36729109</v>
      </c>
      <c r="S77" s="15">
        <v>1</v>
      </c>
      <c r="T77" s="17">
        <v>3571</v>
      </c>
      <c r="U77" s="17">
        <f t="shared" si="1"/>
        <v>3571</v>
      </c>
      <c r="V77" s="15" t="s">
        <v>1138</v>
      </c>
      <c r="W77" s="15" t="s">
        <v>1138</v>
      </c>
      <c r="X77" s="15" t="s">
        <v>1138</v>
      </c>
      <c r="Y77" s="15" t="s">
        <v>1135</v>
      </c>
      <c r="Z77" s="15" t="s">
        <v>1139</v>
      </c>
      <c r="AA77" s="15" t="s">
        <v>2153</v>
      </c>
      <c r="AB77" s="13">
        <v>46073</v>
      </c>
      <c r="AC77" s="14"/>
    </row>
    <row r="78" spans="1:29" x14ac:dyDescent="0.35">
      <c r="A78" s="15">
        <v>77</v>
      </c>
      <c r="B78" s="15" t="s">
        <v>1409</v>
      </c>
      <c r="C78" s="16" t="s">
        <v>1410</v>
      </c>
      <c r="D78" s="15" t="s">
        <v>471</v>
      </c>
      <c r="E78" s="13">
        <v>45966</v>
      </c>
      <c r="F78" s="15" t="s">
        <v>1411</v>
      </c>
      <c r="G78" s="13">
        <v>45966</v>
      </c>
      <c r="H78" s="15" t="s">
        <v>56</v>
      </c>
      <c r="I78" s="15" t="s">
        <v>1134</v>
      </c>
      <c r="J78" s="15"/>
      <c r="K78" s="15" t="s">
        <v>1135</v>
      </c>
      <c r="L78" s="15" t="s">
        <v>1135</v>
      </c>
      <c r="M78" s="18" t="s">
        <v>1412</v>
      </c>
      <c r="N78" s="18" t="s">
        <v>1413</v>
      </c>
      <c r="O78" s="15" t="s">
        <v>1414</v>
      </c>
      <c r="P78" s="15"/>
      <c r="Q78" s="15"/>
      <c r="R78" s="15">
        <v>36317719</v>
      </c>
      <c r="S78" s="15">
        <v>1</v>
      </c>
      <c r="T78" s="17">
        <v>6920</v>
      </c>
      <c r="U78" s="17">
        <f t="shared" si="1"/>
        <v>6920</v>
      </c>
      <c r="V78" s="15" t="s">
        <v>1138</v>
      </c>
      <c r="W78" s="15" t="s">
        <v>1138</v>
      </c>
      <c r="X78" s="15" t="s">
        <v>1138</v>
      </c>
      <c r="Y78" s="15" t="s">
        <v>1135</v>
      </c>
      <c r="Z78" s="15" t="s">
        <v>1139</v>
      </c>
      <c r="AA78" s="15" t="s">
        <v>2153</v>
      </c>
      <c r="AB78" s="13">
        <v>46073</v>
      </c>
      <c r="AC78" s="14"/>
    </row>
    <row r="79" spans="1:29" x14ac:dyDescent="0.35">
      <c r="A79" s="15">
        <v>78</v>
      </c>
      <c r="B79" s="15" t="s">
        <v>1409</v>
      </c>
      <c r="C79" s="16" t="s">
        <v>1410</v>
      </c>
      <c r="D79" s="15" t="s">
        <v>471</v>
      </c>
      <c r="E79" s="13">
        <v>45966</v>
      </c>
      <c r="F79" s="15" t="s">
        <v>1411</v>
      </c>
      <c r="G79" s="13">
        <v>45966</v>
      </c>
      <c r="H79" s="15" t="s">
        <v>56</v>
      </c>
      <c r="I79" s="15" t="s">
        <v>1134</v>
      </c>
      <c r="J79" s="15"/>
      <c r="K79" s="15" t="s">
        <v>1135</v>
      </c>
      <c r="L79" s="15" t="s">
        <v>1135</v>
      </c>
      <c r="M79" s="18" t="s">
        <v>1415</v>
      </c>
      <c r="N79" s="18" t="s">
        <v>1413</v>
      </c>
      <c r="O79" s="15" t="s">
        <v>169</v>
      </c>
      <c r="P79" s="15"/>
      <c r="Q79" s="15"/>
      <c r="R79" s="15">
        <v>36729117</v>
      </c>
      <c r="S79" s="15">
        <v>1</v>
      </c>
      <c r="T79" s="17">
        <v>3571</v>
      </c>
      <c r="U79" s="17">
        <f t="shared" si="1"/>
        <v>3571</v>
      </c>
      <c r="V79" s="15" t="s">
        <v>1138</v>
      </c>
      <c r="W79" s="15" t="s">
        <v>1138</v>
      </c>
      <c r="X79" s="15" t="s">
        <v>1138</v>
      </c>
      <c r="Y79" s="15" t="s">
        <v>1135</v>
      </c>
      <c r="Z79" s="15" t="s">
        <v>1139</v>
      </c>
      <c r="AA79" s="15" t="s">
        <v>2153</v>
      </c>
      <c r="AB79" s="13">
        <v>46073</v>
      </c>
      <c r="AC79" s="14"/>
    </row>
    <row r="80" spans="1:29" x14ac:dyDescent="0.35">
      <c r="A80" s="15">
        <v>79</v>
      </c>
      <c r="B80" s="15" t="s">
        <v>1416</v>
      </c>
      <c r="C80" s="16" t="s">
        <v>1417</v>
      </c>
      <c r="D80" s="15" t="s">
        <v>481</v>
      </c>
      <c r="E80" s="13">
        <v>45967</v>
      </c>
      <c r="F80" s="15" t="s">
        <v>1418</v>
      </c>
      <c r="G80" s="13">
        <v>45967</v>
      </c>
      <c r="H80" s="15" t="s">
        <v>56</v>
      </c>
      <c r="I80" s="18" t="s">
        <v>1134</v>
      </c>
      <c r="J80" s="15"/>
      <c r="K80" s="15" t="s">
        <v>1135</v>
      </c>
      <c r="L80" s="15" t="s">
        <v>1135</v>
      </c>
      <c r="M80" s="18" t="s">
        <v>1419</v>
      </c>
      <c r="N80" s="18" t="s">
        <v>1420</v>
      </c>
      <c r="O80" s="15" t="s">
        <v>1421</v>
      </c>
      <c r="P80" s="15"/>
      <c r="Q80" s="15"/>
      <c r="R80" s="15">
        <v>36978252</v>
      </c>
      <c r="S80" s="15">
        <v>1</v>
      </c>
      <c r="T80" s="17">
        <v>6920</v>
      </c>
      <c r="U80" s="17">
        <f t="shared" si="1"/>
        <v>6920</v>
      </c>
      <c r="V80" s="15" t="s">
        <v>1138</v>
      </c>
      <c r="W80" s="15" t="s">
        <v>1138</v>
      </c>
      <c r="X80" s="15" t="s">
        <v>1138</v>
      </c>
      <c r="Y80" s="15" t="s">
        <v>1135</v>
      </c>
      <c r="Z80" s="15" t="s">
        <v>1139</v>
      </c>
      <c r="AA80" s="15" t="s">
        <v>2153</v>
      </c>
      <c r="AB80" s="13">
        <v>46073</v>
      </c>
      <c r="AC80" s="14"/>
    </row>
    <row r="81" spans="1:29" x14ac:dyDescent="0.35">
      <c r="A81" s="15">
        <v>80</v>
      </c>
      <c r="B81" s="15" t="s">
        <v>1422</v>
      </c>
      <c r="C81" s="16" t="s">
        <v>1423</v>
      </c>
      <c r="D81" s="15" t="s">
        <v>484</v>
      </c>
      <c r="E81" s="13">
        <v>45967</v>
      </c>
      <c r="F81" s="15" t="s">
        <v>1424</v>
      </c>
      <c r="G81" s="13">
        <v>45967</v>
      </c>
      <c r="H81" s="15" t="s">
        <v>56</v>
      </c>
      <c r="I81" s="18" t="s">
        <v>1134</v>
      </c>
      <c r="J81" s="15"/>
      <c r="K81" s="15" t="s">
        <v>1135</v>
      </c>
      <c r="L81" s="15" t="s">
        <v>1135</v>
      </c>
      <c r="M81" s="15" t="s">
        <v>1425</v>
      </c>
      <c r="N81" s="15" t="s">
        <v>1135</v>
      </c>
      <c r="O81" s="15" t="s">
        <v>1426</v>
      </c>
      <c r="P81" s="15"/>
      <c r="Q81" s="15"/>
      <c r="R81" s="15" t="s">
        <v>486</v>
      </c>
      <c r="S81" s="15">
        <v>1</v>
      </c>
      <c r="T81" s="17">
        <v>38393</v>
      </c>
      <c r="U81" s="17">
        <f t="shared" si="1"/>
        <v>38393</v>
      </c>
      <c r="V81" s="15" t="s">
        <v>1138</v>
      </c>
      <c r="W81" s="15" t="s">
        <v>1138</v>
      </c>
      <c r="X81" s="15" t="s">
        <v>1138</v>
      </c>
      <c r="Y81" s="15" t="s">
        <v>1135</v>
      </c>
      <c r="Z81" s="15" t="s">
        <v>1139</v>
      </c>
      <c r="AA81" s="15" t="s">
        <v>2153</v>
      </c>
      <c r="AB81" s="13">
        <v>46073</v>
      </c>
      <c r="AC81" s="14"/>
    </row>
    <row r="82" spans="1:29" x14ac:dyDescent="0.35">
      <c r="A82" s="15">
        <v>81</v>
      </c>
      <c r="B82" s="15" t="s">
        <v>1427</v>
      </c>
      <c r="C82" s="16" t="s">
        <v>1428</v>
      </c>
      <c r="D82" s="15" t="s">
        <v>495</v>
      </c>
      <c r="E82" s="13">
        <v>45967</v>
      </c>
      <c r="F82" s="15" t="s">
        <v>1429</v>
      </c>
      <c r="G82" s="15" t="s">
        <v>1135</v>
      </c>
      <c r="H82" s="15" t="s">
        <v>56</v>
      </c>
      <c r="I82" s="15" t="s">
        <v>1134</v>
      </c>
      <c r="J82" s="15"/>
      <c r="K82" s="15" t="s">
        <v>1135</v>
      </c>
      <c r="L82" s="15" t="s">
        <v>1135</v>
      </c>
      <c r="M82" s="15" t="s">
        <v>1430</v>
      </c>
      <c r="N82" s="15" t="s">
        <v>1135</v>
      </c>
      <c r="O82" s="15" t="s">
        <v>493</v>
      </c>
      <c r="P82" s="15"/>
      <c r="Q82" s="15"/>
      <c r="R82" s="15">
        <v>34963842</v>
      </c>
      <c r="S82" s="15">
        <v>1</v>
      </c>
      <c r="T82" s="17">
        <v>3572</v>
      </c>
      <c r="U82" s="17">
        <f t="shared" si="1"/>
        <v>3572</v>
      </c>
      <c r="V82" s="15" t="s">
        <v>1138</v>
      </c>
      <c r="W82" s="15" t="s">
        <v>1138</v>
      </c>
      <c r="X82" s="15" t="s">
        <v>1138</v>
      </c>
      <c r="Y82" s="15" t="s">
        <v>1135</v>
      </c>
      <c r="Z82" s="15" t="s">
        <v>1139</v>
      </c>
      <c r="AA82" s="15" t="s">
        <v>2153</v>
      </c>
      <c r="AB82" s="13">
        <v>46073</v>
      </c>
      <c r="AC82" s="14"/>
    </row>
    <row r="83" spans="1:29" x14ac:dyDescent="0.35">
      <c r="A83" s="15">
        <v>82</v>
      </c>
      <c r="B83" s="15" t="s">
        <v>1422</v>
      </c>
      <c r="C83" s="16" t="s">
        <v>1423</v>
      </c>
      <c r="D83" s="15" t="s">
        <v>484</v>
      </c>
      <c r="E83" s="13">
        <v>45967</v>
      </c>
      <c r="F83" s="15" t="s">
        <v>1424</v>
      </c>
      <c r="G83" s="13">
        <v>45967</v>
      </c>
      <c r="H83" s="15" t="s">
        <v>56</v>
      </c>
      <c r="I83" s="18" t="s">
        <v>1134</v>
      </c>
      <c r="J83" s="15"/>
      <c r="K83" s="15" t="s">
        <v>1135</v>
      </c>
      <c r="L83" s="15" t="s">
        <v>1135</v>
      </c>
      <c r="M83" s="18" t="s">
        <v>1431</v>
      </c>
      <c r="N83" s="15" t="s">
        <v>1135</v>
      </c>
      <c r="O83" s="15" t="s">
        <v>169</v>
      </c>
      <c r="P83" s="15"/>
      <c r="Q83" s="15"/>
      <c r="R83" s="15">
        <v>35280014</v>
      </c>
      <c r="S83" s="15">
        <v>1</v>
      </c>
      <c r="T83" s="17">
        <v>3571</v>
      </c>
      <c r="U83" s="17">
        <f t="shared" si="1"/>
        <v>3571</v>
      </c>
      <c r="V83" s="15" t="s">
        <v>1138</v>
      </c>
      <c r="W83" s="15" t="s">
        <v>1138</v>
      </c>
      <c r="X83" s="15" t="s">
        <v>1138</v>
      </c>
      <c r="Y83" s="15" t="s">
        <v>1135</v>
      </c>
      <c r="Z83" s="15" t="s">
        <v>1139</v>
      </c>
      <c r="AA83" s="15" t="s">
        <v>2153</v>
      </c>
      <c r="AB83" s="13">
        <v>46073</v>
      </c>
      <c r="AC83" s="14"/>
    </row>
    <row r="84" spans="1:29" x14ac:dyDescent="0.35">
      <c r="A84" s="15">
        <v>83</v>
      </c>
      <c r="B84" s="15" t="s">
        <v>1427</v>
      </c>
      <c r="C84" s="16" t="s">
        <v>1428</v>
      </c>
      <c r="D84" s="15" t="s">
        <v>495</v>
      </c>
      <c r="E84" s="13">
        <v>45967</v>
      </c>
      <c r="F84" s="15" t="s">
        <v>1429</v>
      </c>
      <c r="G84" s="15" t="s">
        <v>1135</v>
      </c>
      <c r="H84" s="15" t="s">
        <v>56</v>
      </c>
      <c r="I84" s="15" t="s">
        <v>1134</v>
      </c>
      <c r="J84" s="15"/>
      <c r="K84" s="15" t="s">
        <v>1135</v>
      </c>
      <c r="L84" s="15" t="s">
        <v>1135</v>
      </c>
      <c r="M84" s="18" t="s">
        <v>1432</v>
      </c>
      <c r="N84" s="15" t="s">
        <v>1135</v>
      </c>
      <c r="O84" s="15" t="s">
        <v>1414</v>
      </c>
      <c r="P84" s="15"/>
      <c r="Q84" s="15"/>
      <c r="R84" s="15">
        <v>36317714</v>
      </c>
      <c r="S84" s="15">
        <v>1</v>
      </c>
      <c r="T84" s="17">
        <v>6920</v>
      </c>
      <c r="U84" s="17">
        <f t="shared" si="1"/>
        <v>6920</v>
      </c>
      <c r="V84" s="15" t="s">
        <v>1138</v>
      </c>
      <c r="W84" s="15" t="s">
        <v>1138</v>
      </c>
      <c r="X84" s="15" t="s">
        <v>1138</v>
      </c>
      <c r="Y84" s="15" t="s">
        <v>1135</v>
      </c>
      <c r="Z84" s="15" t="s">
        <v>1139</v>
      </c>
      <c r="AA84" s="15" t="s">
        <v>2153</v>
      </c>
      <c r="AB84" s="13">
        <v>46073</v>
      </c>
      <c r="AC84" s="14"/>
    </row>
    <row r="85" spans="1:29" x14ac:dyDescent="0.35">
      <c r="A85" s="15">
        <v>84</v>
      </c>
      <c r="B85" s="15" t="s">
        <v>1433</v>
      </c>
      <c r="C85" s="16" t="s">
        <v>1434</v>
      </c>
      <c r="D85" s="15" t="s">
        <v>501</v>
      </c>
      <c r="E85" s="13">
        <v>45968</v>
      </c>
      <c r="F85" s="15" t="s">
        <v>1435</v>
      </c>
      <c r="G85" s="13">
        <v>45968</v>
      </c>
      <c r="H85" s="15" t="s">
        <v>56</v>
      </c>
      <c r="I85" s="15" t="s">
        <v>1134</v>
      </c>
      <c r="J85" s="15"/>
      <c r="K85" s="15" t="s">
        <v>1135</v>
      </c>
      <c r="L85" s="15" t="s">
        <v>1135</v>
      </c>
      <c r="M85" s="18" t="s">
        <v>1436</v>
      </c>
      <c r="N85" s="15" t="s">
        <v>1135</v>
      </c>
      <c r="O85" s="15" t="s">
        <v>1437</v>
      </c>
      <c r="P85" s="15"/>
      <c r="Q85" s="15"/>
      <c r="R85" s="15">
        <v>36396385</v>
      </c>
      <c r="S85" s="15">
        <v>1</v>
      </c>
      <c r="T85" s="17">
        <v>6920</v>
      </c>
      <c r="U85" s="17">
        <f t="shared" si="1"/>
        <v>6920</v>
      </c>
      <c r="V85" s="15" t="s">
        <v>1138</v>
      </c>
      <c r="W85" s="15" t="s">
        <v>1138</v>
      </c>
      <c r="X85" s="15" t="s">
        <v>1138</v>
      </c>
      <c r="Y85" s="15" t="s">
        <v>1135</v>
      </c>
      <c r="Z85" s="15" t="s">
        <v>1139</v>
      </c>
      <c r="AA85" s="15" t="s">
        <v>2153</v>
      </c>
      <c r="AB85" s="13">
        <v>46073</v>
      </c>
      <c r="AC85" s="14"/>
    </row>
    <row r="86" spans="1:29" x14ac:dyDescent="0.35">
      <c r="A86" s="15">
        <v>85</v>
      </c>
      <c r="B86" s="15" t="s">
        <v>1433</v>
      </c>
      <c r="C86" s="16" t="s">
        <v>1434</v>
      </c>
      <c r="D86" s="15" t="s">
        <v>501</v>
      </c>
      <c r="E86" s="13">
        <v>45968</v>
      </c>
      <c r="F86" s="15" t="s">
        <v>1435</v>
      </c>
      <c r="G86" s="13">
        <v>45968</v>
      </c>
      <c r="H86" s="15" t="s">
        <v>56</v>
      </c>
      <c r="I86" s="15" t="s">
        <v>1134</v>
      </c>
      <c r="J86" s="15"/>
      <c r="K86" s="15" t="s">
        <v>1135</v>
      </c>
      <c r="L86" s="15" t="s">
        <v>1135</v>
      </c>
      <c r="M86" s="18" t="s">
        <v>1438</v>
      </c>
      <c r="N86" s="15" t="s">
        <v>1135</v>
      </c>
      <c r="O86" s="15" t="s">
        <v>1439</v>
      </c>
      <c r="P86" s="15"/>
      <c r="Q86" s="15"/>
      <c r="R86" s="15">
        <v>36586617</v>
      </c>
      <c r="S86" s="15">
        <v>1</v>
      </c>
      <c r="T86" s="17">
        <v>41071</v>
      </c>
      <c r="U86" s="17">
        <f t="shared" si="1"/>
        <v>41071</v>
      </c>
      <c r="V86" s="15" t="s">
        <v>1138</v>
      </c>
      <c r="W86" s="15" t="s">
        <v>1138</v>
      </c>
      <c r="X86" s="15" t="s">
        <v>1138</v>
      </c>
      <c r="Y86" s="15" t="s">
        <v>1135</v>
      </c>
      <c r="Z86" s="15" t="s">
        <v>1139</v>
      </c>
      <c r="AA86" s="15" t="s">
        <v>2153</v>
      </c>
      <c r="AB86" s="13">
        <v>46073</v>
      </c>
      <c r="AC86" s="14"/>
    </row>
    <row r="87" spans="1:29" x14ac:dyDescent="0.35">
      <c r="A87" s="15">
        <v>86</v>
      </c>
      <c r="B87" s="15" t="s">
        <v>1433</v>
      </c>
      <c r="C87" s="16" t="s">
        <v>1434</v>
      </c>
      <c r="D87" s="15" t="s">
        <v>501</v>
      </c>
      <c r="E87" s="13">
        <v>45968</v>
      </c>
      <c r="F87" s="15" t="s">
        <v>1435</v>
      </c>
      <c r="G87" s="13">
        <v>45968</v>
      </c>
      <c r="H87" s="15" t="s">
        <v>56</v>
      </c>
      <c r="I87" s="15" t="s">
        <v>1134</v>
      </c>
      <c r="J87" s="15"/>
      <c r="K87" s="15" t="s">
        <v>1135</v>
      </c>
      <c r="L87" s="15" t="s">
        <v>1135</v>
      </c>
      <c r="M87" s="18" t="s">
        <v>1440</v>
      </c>
      <c r="N87" s="15" t="s">
        <v>1135</v>
      </c>
      <c r="O87" s="15" t="s">
        <v>1441</v>
      </c>
      <c r="P87" s="15"/>
      <c r="Q87" s="15"/>
      <c r="R87" s="15">
        <v>37317376</v>
      </c>
      <c r="S87" s="15">
        <v>1</v>
      </c>
      <c r="T87" s="17">
        <v>6920</v>
      </c>
      <c r="U87" s="17">
        <f t="shared" si="1"/>
        <v>6920</v>
      </c>
      <c r="V87" s="15" t="s">
        <v>1138</v>
      </c>
      <c r="W87" s="15" t="s">
        <v>1138</v>
      </c>
      <c r="X87" s="15" t="s">
        <v>1138</v>
      </c>
      <c r="Y87" s="15" t="s">
        <v>1135</v>
      </c>
      <c r="Z87" s="15" t="s">
        <v>1139</v>
      </c>
      <c r="AA87" s="15" t="s">
        <v>2153</v>
      </c>
      <c r="AB87" s="13">
        <v>46073</v>
      </c>
      <c r="AC87" s="14"/>
    </row>
    <row r="88" spans="1:29" x14ac:dyDescent="0.35">
      <c r="A88" s="15">
        <v>87</v>
      </c>
      <c r="B88" s="15" t="s">
        <v>1433</v>
      </c>
      <c r="C88" s="16" t="s">
        <v>1434</v>
      </c>
      <c r="D88" s="15" t="s">
        <v>501</v>
      </c>
      <c r="E88" s="13">
        <v>45968</v>
      </c>
      <c r="F88" s="15" t="s">
        <v>1435</v>
      </c>
      <c r="G88" s="13">
        <v>45968</v>
      </c>
      <c r="H88" s="15" t="s">
        <v>56</v>
      </c>
      <c r="I88" s="15" t="s">
        <v>1134</v>
      </c>
      <c r="J88" s="15"/>
      <c r="K88" s="15" t="s">
        <v>1135</v>
      </c>
      <c r="L88" s="15" t="s">
        <v>1135</v>
      </c>
      <c r="M88" s="18" t="s">
        <v>1442</v>
      </c>
      <c r="N88" s="15" t="s">
        <v>1135</v>
      </c>
      <c r="O88" s="15" t="s">
        <v>365</v>
      </c>
      <c r="P88" s="15"/>
      <c r="Q88" s="15"/>
      <c r="R88" s="15">
        <v>36265921</v>
      </c>
      <c r="S88" s="15">
        <v>1</v>
      </c>
      <c r="T88" s="17">
        <v>43750</v>
      </c>
      <c r="U88" s="17">
        <f t="shared" si="1"/>
        <v>43750</v>
      </c>
      <c r="V88" s="15" t="s">
        <v>1138</v>
      </c>
      <c r="W88" s="15" t="s">
        <v>1138</v>
      </c>
      <c r="X88" s="15" t="s">
        <v>1138</v>
      </c>
      <c r="Y88" s="15" t="s">
        <v>1135</v>
      </c>
      <c r="Z88" s="15" t="s">
        <v>1139</v>
      </c>
      <c r="AA88" s="15" t="s">
        <v>2153</v>
      </c>
      <c r="AB88" s="13">
        <v>46073</v>
      </c>
      <c r="AC88" s="14"/>
    </row>
    <row r="89" spans="1:29" x14ac:dyDescent="0.35">
      <c r="A89" s="15">
        <v>88</v>
      </c>
      <c r="B89" s="15" t="s">
        <v>1443</v>
      </c>
      <c r="C89" s="16" t="s">
        <v>1444</v>
      </c>
      <c r="D89" s="15" t="s">
        <v>511</v>
      </c>
      <c r="E89" s="13">
        <v>45968</v>
      </c>
      <c r="F89" s="15" t="s">
        <v>1445</v>
      </c>
      <c r="G89" s="13">
        <v>45968</v>
      </c>
      <c r="H89" s="15" t="s">
        <v>56</v>
      </c>
      <c r="I89" s="15" t="s">
        <v>1134</v>
      </c>
      <c r="J89" s="15"/>
      <c r="K89" s="15" t="s">
        <v>1135</v>
      </c>
      <c r="L89" s="15" t="s">
        <v>1135</v>
      </c>
      <c r="M89" s="18" t="s">
        <v>1446</v>
      </c>
      <c r="N89" s="18" t="s">
        <v>1447</v>
      </c>
      <c r="O89" s="15" t="s">
        <v>1448</v>
      </c>
      <c r="P89" s="15"/>
      <c r="Q89" s="15"/>
      <c r="R89" s="15">
        <v>36640419</v>
      </c>
      <c r="S89" s="15">
        <v>1</v>
      </c>
      <c r="T89" s="17">
        <v>6920</v>
      </c>
      <c r="U89" s="17">
        <f t="shared" si="1"/>
        <v>6920</v>
      </c>
      <c r="V89" s="15" t="s">
        <v>1138</v>
      </c>
      <c r="W89" s="15" t="s">
        <v>1138</v>
      </c>
      <c r="X89" s="15" t="s">
        <v>1138</v>
      </c>
      <c r="Y89" s="15" t="s">
        <v>1135</v>
      </c>
      <c r="Z89" s="15" t="s">
        <v>1139</v>
      </c>
      <c r="AA89" s="15" t="s">
        <v>2153</v>
      </c>
      <c r="AB89" s="13">
        <v>46073</v>
      </c>
      <c r="AC89" s="14"/>
    </row>
    <row r="90" spans="1:29" x14ac:dyDescent="0.35">
      <c r="A90" s="15">
        <v>89</v>
      </c>
      <c r="B90" s="15" t="s">
        <v>1443</v>
      </c>
      <c r="C90" s="16" t="s">
        <v>1444</v>
      </c>
      <c r="D90" s="15" t="s">
        <v>511</v>
      </c>
      <c r="E90" s="13">
        <v>45968</v>
      </c>
      <c r="F90" s="15" t="s">
        <v>1445</v>
      </c>
      <c r="G90" s="13">
        <v>45968</v>
      </c>
      <c r="H90" s="15" t="s">
        <v>56</v>
      </c>
      <c r="I90" s="15" t="s">
        <v>1134</v>
      </c>
      <c r="J90" s="15"/>
      <c r="K90" s="15" t="s">
        <v>1135</v>
      </c>
      <c r="L90" s="15" t="s">
        <v>1135</v>
      </c>
      <c r="M90" s="18" t="s">
        <v>1449</v>
      </c>
      <c r="N90" s="18" t="s">
        <v>1447</v>
      </c>
      <c r="O90" s="15" t="s">
        <v>1437</v>
      </c>
      <c r="P90" s="15"/>
      <c r="Q90" s="15"/>
      <c r="R90" s="15">
        <v>36640410</v>
      </c>
      <c r="S90" s="15">
        <v>1</v>
      </c>
      <c r="T90" s="17">
        <v>6920</v>
      </c>
      <c r="U90" s="17">
        <f t="shared" si="1"/>
        <v>6920</v>
      </c>
      <c r="V90" s="15" t="s">
        <v>1138</v>
      </c>
      <c r="W90" s="15" t="s">
        <v>1138</v>
      </c>
      <c r="X90" s="15" t="s">
        <v>1138</v>
      </c>
      <c r="Y90" s="15" t="s">
        <v>1135</v>
      </c>
      <c r="Z90" s="15" t="s">
        <v>1139</v>
      </c>
      <c r="AA90" s="15" t="s">
        <v>2153</v>
      </c>
      <c r="AB90" s="13">
        <v>46073</v>
      </c>
      <c r="AC90" s="14"/>
    </row>
    <row r="91" spans="1:29" x14ac:dyDescent="0.35">
      <c r="A91" s="15">
        <v>90</v>
      </c>
      <c r="B91" s="15" t="s">
        <v>1450</v>
      </c>
      <c r="C91" s="16" t="s">
        <v>1451</v>
      </c>
      <c r="D91" s="15" t="s">
        <v>521</v>
      </c>
      <c r="E91" s="13">
        <v>45968</v>
      </c>
      <c r="F91" s="15" t="s">
        <v>1452</v>
      </c>
      <c r="G91" s="13">
        <v>45968</v>
      </c>
      <c r="H91" s="15" t="s">
        <v>56</v>
      </c>
      <c r="I91" s="15" t="s">
        <v>1134</v>
      </c>
      <c r="J91" s="15"/>
      <c r="K91" s="15" t="s">
        <v>1135</v>
      </c>
      <c r="L91" s="15" t="s">
        <v>1135</v>
      </c>
      <c r="M91" s="15" t="s">
        <v>1453</v>
      </c>
      <c r="N91" s="15" t="s">
        <v>1135</v>
      </c>
      <c r="O91" s="15" t="s">
        <v>1454</v>
      </c>
      <c r="P91" s="15"/>
      <c r="Q91" s="15"/>
      <c r="R91" s="15">
        <v>35732854</v>
      </c>
      <c r="S91" s="15">
        <v>1</v>
      </c>
      <c r="T91" s="17">
        <v>38933.129999999997</v>
      </c>
      <c r="U91" s="17">
        <f t="shared" si="1"/>
        <v>38933.129999999997</v>
      </c>
      <c r="V91" s="15" t="s">
        <v>1138</v>
      </c>
      <c r="W91" s="15" t="s">
        <v>1138</v>
      </c>
      <c r="X91" s="15" t="s">
        <v>1138</v>
      </c>
      <c r="Y91" s="15" t="s">
        <v>1135</v>
      </c>
      <c r="Z91" s="15" t="s">
        <v>1139</v>
      </c>
      <c r="AA91" s="15" t="s">
        <v>2153</v>
      </c>
      <c r="AB91" s="13">
        <v>46073</v>
      </c>
      <c r="AC91" s="14"/>
    </row>
    <row r="92" spans="1:29" x14ac:dyDescent="0.35">
      <c r="A92" s="15">
        <v>91</v>
      </c>
      <c r="B92" s="15" t="s">
        <v>1450</v>
      </c>
      <c r="C92" s="16" t="s">
        <v>1451</v>
      </c>
      <c r="D92" s="15" t="s">
        <v>521</v>
      </c>
      <c r="E92" s="13">
        <v>45968</v>
      </c>
      <c r="F92" s="15" t="s">
        <v>1452</v>
      </c>
      <c r="G92" s="13">
        <v>45968</v>
      </c>
      <c r="H92" s="15" t="s">
        <v>56</v>
      </c>
      <c r="I92" s="15" t="s">
        <v>1134</v>
      </c>
      <c r="J92" s="15"/>
      <c r="K92" s="15" t="s">
        <v>1135</v>
      </c>
      <c r="L92" s="15" t="s">
        <v>1135</v>
      </c>
      <c r="M92" s="18" t="s">
        <v>1455</v>
      </c>
      <c r="N92" s="15" t="s">
        <v>1135</v>
      </c>
      <c r="O92" s="15" t="s">
        <v>1456</v>
      </c>
      <c r="P92" s="15"/>
      <c r="Q92" s="15"/>
      <c r="R92" s="15">
        <v>35741734</v>
      </c>
      <c r="S92" s="15">
        <v>1</v>
      </c>
      <c r="T92" s="17">
        <v>38933.129999999997</v>
      </c>
      <c r="U92" s="17">
        <f t="shared" si="1"/>
        <v>38933.129999999997</v>
      </c>
      <c r="V92" s="15" t="s">
        <v>1138</v>
      </c>
      <c r="W92" s="15" t="s">
        <v>1138</v>
      </c>
      <c r="X92" s="15" t="s">
        <v>1138</v>
      </c>
      <c r="Y92" s="15" t="s">
        <v>1135</v>
      </c>
      <c r="Z92" s="15" t="s">
        <v>1139</v>
      </c>
      <c r="AA92" s="15" t="s">
        <v>2153</v>
      </c>
      <c r="AB92" s="13">
        <v>46073</v>
      </c>
      <c r="AC92" s="14"/>
    </row>
    <row r="93" spans="1:29" x14ac:dyDescent="0.35">
      <c r="A93" s="15">
        <v>92</v>
      </c>
      <c r="B93" s="15" t="s">
        <v>1450</v>
      </c>
      <c r="C93" s="16" t="s">
        <v>1451</v>
      </c>
      <c r="D93" s="15" t="s">
        <v>521</v>
      </c>
      <c r="E93" s="13">
        <v>45968</v>
      </c>
      <c r="F93" s="15" t="s">
        <v>1452</v>
      </c>
      <c r="G93" s="13">
        <v>45968</v>
      </c>
      <c r="H93" s="15" t="s">
        <v>56</v>
      </c>
      <c r="I93" s="15" t="s">
        <v>1134</v>
      </c>
      <c r="J93" s="15"/>
      <c r="K93" s="15" t="s">
        <v>1135</v>
      </c>
      <c r="L93" s="15" t="s">
        <v>1135</v>
      </c>
      <c r="M93" s="18" t="s">
        <v>1457</v>
      </c>
      <c r="N93" s="15" t="s">
        <v>1135</v>
      </c>
      <c r="O93" s="15" t="s">
        <v>1458</v>
      </c>
      <c r="P93" s="15"/>
      <c r="Q93" s="15"/>
      <c r="R93" s="15">
        <v>35465126</v>
      </c>
      <c r="S93" s="15">
        <v>1</v>
      </c>
      <c r="T93" s="17">
        <v>38933.129999999997</v>
      </c>
      <c r="U93" s="17">
        <f t="shared" si="1"/>
        <v>38933.129999999997</v>
      </c>
      <c r="V93" s="15" t="s">
        <v>1138</v>
      </c>
      <c r="W93" s="15" t="s">
        <v>1138</v>
      </c>
      <c r="X93" s="15" t="s">
        <v>1138</v>
      </c>
      <c r="Y93" s="15" t="s">
        <v>1135</v>
      </c>
      <c r="Z93" s="15" t="s">
        <v>1139</v>
      </c>
      <c r="AA93" s="15" t="s">
        <v>2153</v>
      </c>
      <c r="AB93" s="13">
        <v>46073</v>
      </c>
      <c r="AC93" s="14"/>
    </row>
    <row r="94" spans="1:29" x14ac:dyDescent="0.35">
      <c r="A94" s="15">
        <v>93</v>
      </c>
      <c r="B94" s="15" t="s">
        <v>1450</v>
      </c>
      <c r="C94" s="16" t="s">
        <v>1451</v>
      </c>
      <c r="D94" s="15" t="s">
        <v>521</v>
      </c>
      <c r="E94" s="13">
        <v>45968</v>
      </c>
      <c r="F94" s="15" t="s">
        <v>1452</v>
      </c>
      <c r="G94" s="13">
        <v>45968</v>
      </c>
      <c r="H94" s="15" t="s">
        <v>56</v>
      </c>
      <c r="I94" s="15" t="s">
        <v>1134</v>
      </c>
      <c r="J94" s="15"/>
      <c r="K94" s="15" t="s">
        <v>1135</v>
      </c>
      <c r="L94" s="15" t="s">
        <v>1135</v>
      </c>
      <c r="M94" s="18" t="s">
        <v>1459</v>
      </c>
      <c r="N94" s="15" t="s">
        <v>1135</v>
      </c>
      <c r="O94" s="15" t="s">
        <v>1448</v>
      </c>
      <c r="P94" s="15"/>
      <c r="Q94" s="15"/>
      <c r="R94" s="15">
        <v>35712203</v>
      </c>
      <c r="S94" s="15">
        <v>1</v>
      </c>
      <c r="T94" s="17">
        <v>6920</v>
      </c>
      <c r="U94" s="17">
        <f t="shared" si="1"/>
        <v>6920</v>
      </c>
      <c r="V94" s="15" t="s">
        <v>1138</v>
      </c>
      <c r="W94" s="15" t="s">
        <v>1138</v>
      </c>
      <c r="X94" s="15" t="s">
        <v>1138</v>
      </c>
      <c r="Y94" s="15" t="s">
        <v>1135</v>
      </c>
      <c r="Z94" s="15" t="s">
        <v>1139</v>
      </c>
      <c r="AA94" s="15" t="s">
        <v>2153</v>
      </c>
      <c r="AB94" s="13">
        <v>46073</v>
      </c>
      <c r="AC94" s="14"/>
    </row>
    <row r="95" spans="1:29" x14ac:dyDescent="0.35">
      <c r="A95" s="15">
        <v>94</v>
      </c>
      <c r="B95" s="15" t="s">
        <v>1450</v>
      </c>
      <c r="C95" s="16" t="s">
        <v>1451</v>
      </c>
      <c r="D95" s="15" t="s">
        <v>521</v>
      </c>
      <c r="E95" s="13">
        <v>45968</v>
      </c>
      <c r="F95" s="15" t="s">
        <v>1452</v>
      </c>
      <c r="G95" s="13">
        <v>45968</v>
      </c>
      <c r="H95" s="15" t="s">
        <v>56</v>
      </c>
      <c r="I95" s="15" t="s">
        <v>1134</v>
      </c>
      <c r="J95" s="15"/>
      <c r="K95" s="15" t="s">
        <v>1135</v>
      </c>
      <c r="L95" s="15" t="s">
        <v>1135</v>
      </c>
      <c r="M95" s="18" t="s">
        <v>1460</v>
      </c>
      <c r="N95" s="15" t="s">
        <v>1135</v>
      </c>
      <c r="O95" s="15" t="s">
        <v>519</v>
      </c>
      <c r="P95" s="15"/>
      <c r="Q95" s="15"/>
      <c r="R95" s="15">
        <v>34940844</v>
      </c>
      <c r="S95" s="15">
        <v>1</v>
      </c>
      <c r="T95" s="17">
        <v>3571</v>
      </c>
      <c r="U95" s="17">
        <f t="shared" si="1"/>
        <v>3571</v>
      </c>
      <c r="V95" s="15" t="s">
        <v>1138</v>
      </c>
      <c r="W95" s="15" t="s">
        <v>1138</v>
      </c>
      <c r="X95" s="15" t="s">
        <v>1138</v>
      </c>
      <c r="Y95" s="15" t="s">
        <v>1135</v>
      </c>
      <c r="Z95" s="15" t="s">
        <v>1139</v>
      </c>
      <c r="AA95" s="15" t="s">
        <v>2153</v>
      </c>
      <c r="AB95" s="13">
        <v>46073</v>
      </c>
      <c r="AC95" s="14"/>
    </row>
    <row r="96" spans="1:29" x14ac:dyDescent="0.35">
      <c r="A96" s="15">
        <v>95</v>
      </c>
      <c r="B96" s="15" t="s">
        <v>1461</v>
      </c>
      <c r="C96" s="16" t="s">
        <v>1462</v>
      </c>
      <c r="D96" s="15" t="s">
        <v>532</v>
      </c>
      <c r="E96" s="13">
        <v>45971</v>
      </c>
      <c r="F96" s="15" t="s">
        <v>1463</v>
      </c>
      <c r="G96" s="13">
        <v>45971</v>
      </c>
      <c r="H96" s="15" t="s">
        <v>56</v>
      </c>
      <c r="I96" s="15" t="s">
        <v>1134</v>
      </c>
      <c r="J96" s="15"/>
      <c r="K96" s="15" t="s">
        <v>1135</v>
      </c>
      <c r="L96" s="15" t="s">
        <v>1135</v>
      </c>
      <c r="M96" s="18" t="s">
        <v>1464</v>
      </c>
      <c r="N96" s="18" t="s">
        <v>1465</v>
      </c>
      <c r="O96" s="15" t="s">
        <v>1145</v>
      </c>
      <c r="P96" s="15"/>
      <c r="Q96" s="15"/>
      <c r="R96" s="15">
        <v>36580753</v>
      </c>
      <c r="S96" s="15">
        <v>1</v>
      </c>
      <c r="T96" s="17">
        <v>6920</v>
      </c>
      <c r="U96" s="17">
        <f t="shared" si="1"/>
        <v>6920</v>
      </c>
      <c r="V96" s="15" t="s">
        <v>1138</v>
      </c>
      <c r="W96" s="15" t="s">
        <v>1138</v>
      </c>
      <c r="X96" s="15" t="s">
        <v>1138</v>
      </c>
      <c r="Y96" s="15" t="s">
        <v>1135</v>
      </c>
      <c r="Z96" s="15" t="s">
        <v>1139</v>
      </c>
      <c r="AA96" s="15" t="s">
        <v>2153</v>
      </c>
      <c r="AB96" s="13">
        <v>46073</v>
      </c>
      <c r="AC96" s="14"/>
    </row>
    <row r="97" spans="1:29" x14ac:dyDescent="0.35">
      <c r="A97" s="15">
        <v>96</v>
      </c>
      <c r="B97" s="15" t="s">
        <v>1461</v>
      </c>
      <c r="C97" s="16" t="s">
        <v>1462</v>
      </c>
      <c r="D97" s="15" t="s">
        <v>532</v>
      </c>
      <c r="E97" s="13">
        <v>45971</v>
      </c>
      <c r="F97" s="15" t="s">
        <v>1463</v>
      </c>
      <c r="G97" s="13">
        <v>45971</v>
      </c>
      <c r="H97" s="15" t="s">
        <v>56</v>
      </c>
      <c r="I97" s="15" t="s">
        <v>1134</v>
      </c>
      <c r="J97" s="15"/>
      <c r="K97" s="15" t="s">
        <v>1135</v>
      </c>
      <c r="L97" s="15" t="s">
        <v>1135</v>
      </c>
      <c r="M97" s="18" t="s">
        <v>1466</v>
      </c>
      <c r="N97" s="18" t="s">
        <v>1465</v>
      </c>
      <c r="O97" s="15" t="s">
        <v>1441</v>
      </c>
      <c r="P97" s="15"/>
      <c r="Q97" s="15"/>
      <c r="R97" s="15">
        <v>37317376</v>
      </c>
      <c r="S97" s="15">
        <v>1</v>
      </c>
      <c r="T97" s="17">
        <v>6920</v>
      </c>
      <c r="U97" s="17">
        <f t="shared" si="1"/>
        <v>6920</v>
      </c>
      <c r="V97" s="15" t="s">
        <v>1138</v>
      </c>
      <c r="W97" s="15" t="s">
        <v>1138</v>
      </c>
      <c r="X97" s="15" t="s">
        <v>1138</v>
      </c>
      <c r="Y97" s="15" t="s">
        <v>1135</v>
      </c>
      <c r="Z97" s="15" t="s">
        <v>1139</v>
      </c>
      <c r="AA97" s="15" t="s">
        <v>2153</v>
      </c>
      <c r="AB97" s="13">
        <v>46073</v>
      </c>
      <c r="AC97" s="14"/>
    </row>
    <row r="98" spans="1:29" x14ac:dyDescent="0.35">
      <c r="A98" s="15">
        <v>97</v>
      </c>
      <c r="B98" s="15" t="s">
        <v>1467</v>
      </c>
      <c r="C98" s="16" t="s">
        <v>1468</v>
      </c>
      <c r="D98" s="15" t="s">
        <v>538</v>
      </c>
      <c r="E98" s="13">
        <v>45973</v>
      </c>
      <c r="F98" s="15" t="s">
        <v>1469</v>
      </c>
      <c r="G98" s="13">
        <v>45973</v>
      </c>
      <c r="H98" s="15" t="s">
        <v>56</v>
      </c>
      <c r="I98" s="18" t="s">
        <v>1134</v>
      </c>
      <c r="J98" s="15"/>
      <c r="K98" s="15" t="s">
        <v>1135</v>
      </c>
      <c r="L98" s="15" t="s">
        <v>1135</v>
      </c>
      <c r="M98" s="18" t="s">
        <v>1470</v>
      </c>
      <c r="N98" s="18" t="s">
        <v>1471</v>
      </c>
      <c r="O98" s="15" t="s">
        <v>1472</v>
      </c>
      <c r="P98" s="15"/>
      <c r="Q98" s="15"/>
      <c r="R98" s="15">
        <v>36261944</v>
      </c>
      <c r="S98" s="15">
        <v>1</v>
      </c>
      <c r="T98" s="17">
        <v>6920</v>
      </c>
      <c r="U98" s="17">
        <f t="shared" si="1"/>
        <v>6920</v>
      </c>
      <c r="V98" s="15" t="s">
        <v>1138</v>
      </c>
      <c r="W98" s="15" t="s">
        <v>1138</v>
      </c>
      <c r="X98" s="15" t="s">
        <v>1138</v>
      </c>
      <c r="Y98" s="15" t="s">
        <v>1135</v>
      </c>
      <c r="Z98" s="15" t="s">
        <v>1139</v>
      </c>
      <c r="AA98" s="15" t="s">
        <v>2153</v>
      </c>
      <c r="AB98" s="13">
        <v>46073</v>
      </c>
      <c r="AC98" s="14"/>
    </row>
    <row r="99" spans="1:29" x14ac:dyDescent="0.35">
      <c r="A99" s="15">
        <v>98</v>
      </c>
      <c r="B99" s="15" t="s">
        <v>1473</v>
      </c>
      <c r="C99" s="16" t="s">
        <v>1474</v>
      </c>
      <c r="D99" s="15" t="s">
        <v>541</v>
      </c>
      <c r="E99" s="13">
        <v>45973</v>
      </c>
      <c r="F99" s="15" t="s">
        <v>1475</v>
      </c>
      <c r="G99" s="13">
        <v>45973</v>
      </c>
      <c r="H99" s="15" t="s">
        <v>56</v>
      </c>
      <c r="I99" s="15" t="s">
        <v>1134</v>
      </c>
      <c r="J99" s="15"/>
      <c r="K99" s="15" t="s">
        <v>1135</v>
      </c>
      <c r="L99" s="15" t="s">
        <v>1135</v>
      </c>
      <c r="M99" s="18" t="s">
        <v>1476</v>
      </c>
      <c r="N99" s="15" t="s">
        <v>1135</v>
      </c>
      <c r="O99" s="15" t="s">
        <v>1477</v>
      </c>
      <c r="P99" s="15"/>
      <c r="Q99" s="15"/>
      <c r="R99" s="15" t="s">
        <v>543</v>
      </c>
      <c r="S99" s="15">
        <v>1</v>
      </c>
      <c r="T99" s="17">
        <v>38393</v>
      </c>
      <c r="U99" s="17">
        <f t="shared" si="1"/>
        <v>38393</v>
      </c>
      <c r="V99" s="15" t="s">
        <v>1138</v>
      </c>
      <c r="W99" s="15" t="s">
        <v>1138</v>
      </c>
      <c r="X99" s="15" t="s">
        <v>1138</v>
      </c>
      <c r="Y99" s="15" t="s">
        <v>1135</v>
      </c>
      <c r="Z99" s="15" t="s">
        <v>1139</v>
      </c>
      <c r="AA99" s="15" t="s">
        <v>2153</v>
      </c>
      <c r="AB99" s="13">
        <v>46073</v>
      </c>
      <c r="AC99" s="14"/>
    </row>
    <row r="100" spans="1:29" x14ac:dyDescent="0.35">
      <c r="A100" s="15">
        <v>99</v>
      </c>
      <c r="B100" s="15" t="s">
        <v>1473</v>
      </c>
      <c r="C100" s="16" t="s">
        <v>1474</v>
      </c>
      <c r="D100" s="15" t="s">
        <v>541</v>
      </c>
      <c r="E100" s="13">
        <v>45973</v>
      </c>
      <c r="F100" s="15" t="s">
        <v>1475</v>
      </c>
      <c r="G100" s="13">
        <v>45973</v>
      </c>
      <c r="H100" s="15" t="s">
        <v>56</v>
      </c>
      <c r="I100" s="15" t="s">
        <v>1134</v>
      </c>
      <c r="J100" s="15"/>
      <c r="K100" s="15" t="s">
        <v>1135</v>
      </c>
      <c r="L100" s="15" t="s">
        <v>1135</v>
      </c>
      <c r="M100" s="18" t="s">
        <v>1478</v>
      </c>
      <c r="N100" s="15" t="s">
        <v>1135</v>
      </c>
      <c r="O100" s="15" t="s">
        <v>493</v>
      </c>
      <c r="P100" s="15"/>
      <c r="Q100" s="15"/>
      <c r="R100" s="15">
        <v>37025888</v>
      </c>
      <c r="S100" s="15">
        <v>1</v>
      </c>
      <c r="T100" s="17">
        <v>3572</v>
      </c>
      <c r="U100" s="17">
        <f t="shared" si="1"/>
        <v>3572</v>
      </c>
      <c r="V100" s="15" t="s">
        <v>1138</v>
      </c>
      <c r="W100" s="15" t="s">
        <v>1138</v>
      </c>
      <c r="X100" s="15" t="s">
        <v>1138</v>
      </c>
      <c r="Y100" s="15" t="s">
        <v>1135</v>
      </c>
      <c r="Z100" s="15" t="s">
        <v>1139</v>
      </c>
      <c r="AA100" s="15" t="s">
        <v>2153</v>
      </c>
      <c r="AB100" s="13">
        <v>46073</v>
      </c>
      <c r="AC100" s="14"/>
    </row>
    <row r="101" spans="1:29" x14ac:dyDescent="0.35">
      <c r="A101" s="15">
        <v>100</v>
      </c>
      <c r="B101" s="15" t="s">
        <v>1479</v>
      </c>
      <c r="C101" s="16" t="s">
        <v>1480</v>
      </c>
      <c r="D101" s="15" t="s">
        <v>546</v>
      </c>
      <c r="E101" s="13">
        <v>45973</v>
      </c>
      <c r="F101" s="15" t="s">
        <v>1481</v>
      </c>
      <c r="G101" s="13">
        <v>45973</v>
      </c>
      <c r="H101" s="15" t="s">
        <v>56</v>
      </c>
      <c r="I101" s="15" t="s">
        <v>1134</v>
      </c>
      <c r="J101" s="15"/>
      <c r="K101" s="15" t="s">
        <v>1135</v>
      </c>
      <c r="L101" s="15" t="s">
        <v>1135</v>
      </c>
      <c r="M101" s="18" t="s">
        <v>1482</v>
      </c>
      <c r="N101" s="18" t="s">
        <v>1483</v>
      </c>
      <c r="O101" s="15" t="s">
        <v>1472</v>
      </c>
      <c r="P101" s="15"/>
      <c r="Q101" s="15"/>
      <c r="R101" s="15">
        <v>36261944</v>
      </c>
      <c r="S101" s="15">
        <v>1</v>
      </c>
      <c r="T101" s="17">
        <v>6920</v>
      </c>
      <c r="U101" s="17">
        <f t="shared" si="1"/>
        <v>6920</v>
      </c>
      <c r="V101" s="15" t="s">
        <v>1138</v>
      </c>
      <c r="W101" s="15" t="s">
        <v>1138</v>
      </c>
      <c r="X101" s="15" t="s">
        <v>1138</v>
      </c>
      <c r="Y101" s="15" t="s">
        <v>1135</v>
      </c>
      <c r="Z101" s="15" t="s">
        <v>1139</v>
      </c>
      <c r="AA101" s="15" t="s">
        <v>2153</v>
      </c>
      <c r="AB101" s="13">
        <v>46073</v>
      </c>
      <c r="AC101" s="14"/>
    </row>
    <row r="102" spans="1:29" x14ac:dyDescent="0.35">
      <c r="A102" s="15">
        <v>101</v>
      </c>
      <c r="B102" s="15" t="s">
        <v>1479</v>
      </c>
      <c r="C102" s="16" t="s">
        <v>1480</v>
      </c>
      <c r="D102" s="15" t="s">
        <v>546</v>
      </c>
      <c r="E102" s="13">
        <v>45973</v>
      </c>
      <c r="F102" s="15" t="s">
        <v>1481</v>
      </c>
      <c r="G102" s="13">
        <v>45973</v>
      </c>
      <c r="H102" s="15" t="s">
        <v>56</v>
      </c>
      <c r="I102" s="15" t="s">
        <v>1134</v>
      </c>
      <c r="J102" s="15"/>
      <c r="K102" s="15" t="s">
        <v>1135</v>
      </c>
      <c r="L102" s="15" t="s">
        <v>1135</v>
      </c>
      <c r="M102" s="18" t="s">
        <v>1484</v>
      </c>
      <c r="N102" s="18" t="s">
        <v>1483</v>
      </c>
      <c r="O102" s="15" t="s">
        <v>1313</v>
      </c>
      <c r="P102" s="15"/>
      <c r="Q102" s="15"/>
      <c r="R102" s="15">
        <v>34039601</v>
      </c>
      <c r="S102" s="15">
        <v>1</v>
      </c>
      <c r="T102" s="17">
        <v>38933.129999999997</v>
      </c>
      <c r="U102" s="17">
        <f t="shared" si="1"/>
        <v>38933.129999999997</v>
      </c>
      <c r="V102" s="15" t="s">
        <v>1138</v>
      </c>
      <c r="W102" s="15" t="s">
        <v>1138</v>
      </c>
      <c r="X102" s="15" t="s">
        <v>1138</v>
      </c>
      <c r="Y102" s="15" t="s">
        <v>1135</v>
      </c>
      <c r="Z102" s="15" t="s">
        <v>1139</v>
      </c>
      <c r="AA102" s="15" t="s">
        <v>2153</v>
      </c>
      <c r="AB102" s="13">
        <v>46073</v>
      </c>
      <c r="AC102" s="14"/>
    </row>
    <row r="103" spans="1:29" x14ac:dyDescent="0.35">
      <c r="A103" s="15">
        <v>102</v>
      </c>
      <c r="B103" s="15" t="s">
        <v>1485</v>
      </c>
      <c r="C103" s="16" t="s">
        <v>1486</v>
      </c>
      <c r="D103" s="15" t="s">
        <v>551</v>
      </c>
      <c r="E103" s="13">
        <v>45973</v>
      </c>
      <c r="F103" s="15" t="s">
        <v>1487</v>
      </c>
      <c r="G103" s="13">
        <v>45973</v>
      </c>
      <c r="H103" s="15" t="s">
        <v>56</v>
      </c>
      <c r="I103" s="15" t="s">
        <v>1134</v>
      </c>
      <c r="J103" s="15"/>
      <c r="K103" s="15" t="s">
        <v>1135</v>
      </c>
      <c r="L103" s="15" t="s">
        <v>1135</v>
      </c>
      <c r="M103" s="18" t="s">
        <v>1488</v>
      </c>
      <c r="N103" s="18" t="s">
        <v>1489</v>
      </c>
      <c r="O103" s="15" t="s">
        <v>1490</v>
      </c>
      <c r="P103" s="15"/>
      <c r="Q103" s="15"/>
      <c r="R103" s="15">
        <v>36396339</v>
      </c>
      <c r="S103" s="15">
        <v>1</v>
      </c>
      <c r="T103" s="17">
        <v>6920</v>
      </c>
      <c r="U103" s="17">
        <f t="shared" si="1"/>
        <v>6920</v>
      </c>
      <c r="V103" s="15" t="s">
        <v>1138</v>
      </c>
      <c r="W103" s="15" t="s">
        <v>1138</v>
      </c>
      <c r="X103" s="15" t="s">
        <v>1138</v>
      </c>
      <c r="Y103" s="15" t="s">
        <v>1135</v>
      </c>
      <c r="Z103" s="15" t="s">
        <v>1139</v>
      </c>
      <c r="AA103" s="15" t="s">
        <v>2153</v>
      </c>
      <c r="AB103" s="13">
        <v>46073</v>
      </c>
      <c r="AC103" s="14"/>
    </row>
    <row r="104" spans="1:29" x14ac:dyDescent="0.35">
      <c r="A104" s="15">
        <v>103</v>
      </c>
      <c r="B104" s="15" t="s">
        <v>1491</v>
      </c>
      <c r="C104" s="16" t="s">
        <v>1492</v>
      </c>
      <c r="D104" s="15" t="s">
        <v>553</v>
      </c>
      <c r="E104" s="13">
        <v>45973</v>
      </c>
      <c r="F104" s="15" t="s">
        <v>1493</v>
      </c>
      <c r="G104" s="13">
        <v>45973</v>
      </c>
      <c r="H104" s="15" t="s">
        <v>56</v>
      </c>
      <c r="I104" s="15" t="s">
        <v>1134</v>
      </c>
      <c r="J104" s="15"/>
      <c r="K104" s="15" t="s">
        <v>1135</v>
      </c>
      <c r="L104" s="15" t="s">
        <v>1135</v>
      </c>
      <c r="M104" s="18" t="s">
        <v>1494</v>
      </c>
      <c r="N104" s="15" t="s">
        <v>1135</v>
      </c>
      <c r="O104" s="15" t="s">
        <v>1441</v>
      </c>
      <c r="P104" s="15"/>
      <c r="Q104" s="15"/>
      <c r="R104" s="15">
        <v>37317376</v>
      </c>
      <c r="S104" s="15">
        <v>1</v>
      </c>
      <c r="T104" s="17">
        <v>6920</v>
      </c>
      <c r="U104" s="17">
        <f t="shared" si="1"/>
        <v>6920</v>
      </c>
      <c r="V104" s="15" t="s">
        <v>1138</v>
      </c>
      <c r="W104" s="15" t="s">
        <v>1138</v>
      </c>
      <c r="X104" s="15" t="s">
        <v>1138</v>
      </c>
      <c r="Y104" s="15" t="s">
        <v>1135</v>
      </c>
      <c r="Z104" s="15" t="s">
        <v>1139</v>
      </c>
      <c r="AA104" s="15" t="s">
        <v>2153</v>
      </c>
      <c r="AB104" s="13">
        <v>46073</v>
      </c>
      <c r="AC104" s="14"/>
    </row>
    <row r="105" spans="1:29" x14ac:dyDescent="0.35">
      <c r="A105" s="15">
        <v>104</v>
      </c>
      <c r="B105" s="15" t="s">
        <v>1491</v>
      </c>
      <c r="C105" s="16" t="s">
        <v>1492</v>
      </c>
      <c r="D105" s="15" t="s">
        <v>553</v>
      </c>
      <c r="E105" s="13">
        <v>45973</v>
      </c>
      <c r="F105" s="15" t="s">
        <v>1493</v>
      </c>
      <c r="G105" s="13">
        <v>45973</v>
      </c>
      <c r="H105" s="15" t="s">
        <v>56</v>
      </c>
      <c r="I105" s="15" t="s">
        <v>1134</v>
      </c>
      <c r="J105" s="15"/>
      <c r="K105" s="15" t="s">
        <v>1135</v>
      </c>
      <c r="L105" s="15" t="s">
        <v>1135</v>
      </c>
      <c r="M105" s="18" t="s">
        <v>1495</v>
      </c>
      <c r="N105" s="15" t="s">
        <v>1135</v>
      </c>
      <c r="O105" s="15" t="s">
        <v>169</v>
      </c>
      <c r="P105" s="15"/>
      <c r="Q105" s="15"/>
      <c r="R105" s="15">
        <v>36729117</v>
      </c>
      <c r="S105" s="15">
        <v>1</v>
      </c>
      <c r="T105" s="17">
        <v>3571</v>
      </c>
      <c r="U105" s="17">
        <f t="shared" si="1"/>
        <v>3571</v>
      </c>
      <c r="V105" s="15" t="s">
        <v>1138</v>
      </c>
      <c r="W105" s="15" t="s">
        <v>1138</v>
      </c>
      <c r="X105" s="15" t="s">
        <v>1138</v>
      </c>
      <c r="Y105" s="15" t="s">
        <v>1135</v>
      </c>
      <c r="Z105" s="15" t="s">
        <v>1139</v>
      </c>
      <c r="AA105" s="15" t="s">
        <v>2153</v>
      </c>
      <c r="AB105" s="13">
        <v>46073</v>
      </c>
      <c r="AC105" s="14"/>
    </row>
    <row r="106" spans="1:29" x14ac:dyDescent="0.35">
      <c r="A106" s="15">
        <v>105</v>
      </c>
      <c r="B106" s="15" t="s">
        <v>1491</v>
      </c>
      <c r="C106" s="16" t="s">
        <v>1492</v>
      </c>
      <c r="D106" s="15" t="s">
        <v>553</v>
      </c>
      <c r="E106" s="13">
        <v>45973</v>
      </c>
      <c r="F106" s="15" t="s">
        <v>1493</v>
      </c>
      <c r="G106" s="13">
        <v>45973</v>
      </c>
      <c r="H106" s="15" t="s">
        <v>56</v>
      </c>
      <c r="I106" s="15" t="s">
        <v>1134</v>
      </c>
      <c r="J106" s="15"/>
      <c r="K106" s="15" t="s">
        <v>1135</v>
      </c>
      <c r="L106" s="15" t="s">
        <v>1135</v>
      </c>
      <c r="M106" s="18" t="s">
        <v>1496</v>
      </c>
      <c r="N106" s="15" t="s">
        <v>1135</v>
      </c>
      <c r="O106" s="15" t="s">
        <v>1497</v>
      </c>
      <c r="P106" s="15"/>
      <c r="Q106" s="15"/>
      <c r="R106" s="15">
        <v>34985631</v>
      </c>
      <c r="S106" s="15">
        <v>1</v>
      </c>
      <c r="T106" s="17">
        <v>38933.129999999997</v>
      </c>
      <c r="U106" s="17">
        <f t="shared" si="1"/>
        <v>38933.129999999997</v>
      </c>
      <c r="V106" s="15" t="s">
        <v>1138</v>
      </c>
      <c r="W106" s="15" t="s">
        <v>1138</v>
      </c>
      <c r="X106" s="15" t="s">
        <v>1138</v>
      </c>
      <c r="Y106" s="15" t="s">
        <v>1135</v>
      </c>
      <c r="Z106" s="15" t="s">
        <v>1139</v>
      </c>
      <c r="AA106" s="15" t="s">
        <v>2153</v>
      </c>
      <c r="AB106" s="13">
        <v>46073</v>
      </c>
      <c r="AC106" s="14"/>
    </row>
    <row r="107" spans="1:29" x14ac:dyDescent="0.35">
      <c r="A107" s="15">
        <v>106</v>
      </c>
      <c r="B107" s="15" t="s">
        <v>1498</v>
      </c>
      <c r="C107" s="16" t="s">
        <v>1499</v>
      </c>
      <c r="D107" s="15" t="s">
        <v>564</v>
      </c>
      <c r="E107" s="13">
        <v>45974</v>
      </c>
      <c r="F107" s="15" t="s">
        <v>1500</v>
      </c>
      <c r="G107" s="13">
        <v>45974</v>
      </c>
      <c r="H107" s="15" t="s">
        <v>56</v>
      </c>
      <c r="I107" s="15" t="s">
        <v>1134</v>
      </c>
      <c r="J107" s="15"/>
      <c r="K107" s="15" t="s">
        <v>1135</v>
      </c>
      <c r="L107" s="15" t="s">
        <v>1135</v>
      </c>
      <c r="M107" s="15" t="s">
        <v>1501</v>
      </c>
      <c r="N107" s="18" t="s">
        <v>1502</v>
      </c>
      <c r="O107" s="15" t="s">
        <v>1490</v>
      </c>
      <c r="P107" s="15"/>
      <c r="Q107" s="15"/>
      <c r="R107" s="15">
        <v>36173105</v>
      </c>
      <c r="S107" s="15">
        <v>1</v>
      </c>
      <c r="T107" s="17">
        <v>6920</v>
      </c>
      <c r="U107" s="17">
        <f t="shared" si="1"/>
        <v>6920</v>
      </c>
      <c r="V107" s="15" t="s">
        <v>1138</v>
      </c>
      <c r="W107" s="15" t="s">
        <v>1138</v>
      </c>
      <c r="X107" s="15" t="s">
        <v>1138</v>
      </c>
      <c r="Y107" s="15" t="s">
        <v>1135</v>
      </c>
      <c r="Z107" s="15" t="s">
        <v>1139</v>
      </c>
      <c r="AA107" s="15" t="s">
        <v>2153</v>
      </c>
      <c r="AB107" s="13">
        <v>46073</v>
      </c>
      <c r="AC107" s="14"/>
    </row>
    <row r="108" spans="1:29" x14ac:dyDescent="0.35">
      <c r="A108" s="15">
        <v>107</v>
      </c>
      <c r="B108" s="15" t="s">
        <v>1503</v>
      </c>
      <c r="C108" s="16" t="s">
        <v>1504</v>
      </c>
      <c r="D108" s="15" t="s">
        <v>567</v>
      </c>
      <c r="E108" s="13">
        <v>45975</v>
      </c>
      <c r="F108" s="15" t="s">
        <v>1505</v>
      </c>
      <c r="G108" s="13">
        <v>45975</v>
      </c>
      <c r="H108" s="15" t="s">
        <v>56</v>
      </c>
      <c r="I108" s="18" t="s">
        <v>1134</v>
      </c>
      <c r="J108" s="15"/>
      <c r="K108" s="15" t="s">
        <v>1135</v>
      </c>
      <c r="L108" s="15" t="s">
        <v>1135</v>
      </c>
      <c r="M108" s="18" t="s">
        <v>1506</v>
      </c>
      <c r="N108" s="18" t="s">
        <v>1507</v>
      </c>
      <c r="O108" s="15" t="s">
        <v>1215</v>
      </c>
      <c r="P108" s="15"/>
      <c r="Q108" s="15"/>
      <c r="R108" s="15">
        <v>36153763</v>
      </c>
      <c r="S108" s="15">
        <v>1</v>
      </c>
      <c r="T108" s="17">
        <v>6920</v>
      </c>
      <c r="U108" s="17">
        <f t="shared" si="1"/>
        <v>6920</v>
      </c>
      <c r="V108" s="15" t="s">
        <v>1138</v>
      </c>
      <c r="W108" s="15" t="s">
        <v>1138</v>
      </c>
      <c r="X108" s="15" t="s">
        <v>1138</v>
      </c>
      <c r="Y108" s="15" t="s">
        <v>1135</v>
      </c>
      <c r="Z108" s="15" t="s">
        <v>1139</v>
      </c>
      <c r="AA108" s="15" t="s">
        <v>2153</v>
      </c>
      <c r="AB108" s="13">
        <v>46073</v>
      </c>
      <c r="AC108" s="14"/>
    </row>
    <row r="109" spans="1:29" x14ac:dyDescent="0.35">
      <c r="A109" s="15">
        <v>108</v>
      </c>
      <c r="B109" s="15" t="s">
        <v>1508</v>
      </c>
      <c r="C109" s="16" t="s">
        <v>1509</v>
      </c>
      <c r="D109" s="15" t="s">
        <v>570</v>
      </c>
      <c r="E109" s="13">
        <v>45975</v>
      </c>
      <c r="F109" s="15" t="s">
        <v>1510</v>
      </c>
      <c r="G109" s="13">
        <v>45975</v>
      </c>
      <c r="H109" s="15" t="s">
        <v>56</v>
      </c>
      <c r="I109" s="15" t="s">
        <v>1134</v>
      </c>
      <c r="J109" s="15"/>
      <c r="K109" s="15" t="s">
        <v>1135</v>
      </c>
      <c r="L109" s="15" t="s">
        <v>1135</v>
      </c>
      <c r="M109" s="18" t="s">
        <v>1511</v>
      </c>
      <c r="N109" s="18" t="s">
        <v>1512</v>
      </c>
      <c r="O109" s="15" t="s">
        <v>262</v>
      </c>
      <c r="P109" s="15"/>
      <c r="Q109" s="15"/>
      <c r="R109" s="15">
        <v>36781431</v>
      </c>
      <c r="S109" s="15">
        <v>1</v>
      </c>
      <c r="T109" s="17">
        <v>3571</v>
      </c>
      <c r="U109" s="17">
        <f t="shared" si="1"/>
        <v>3571</v>
      </c>
      <c r="V109" s="15" t="s">
        <v>1138</v>
      </c>
      <c r="W109" s="15" t="s">
        <v>1138</v>
      </c>
      <c r="X109" s="15" t="s">
        <v>1138</v>
      </c>
      <c r="Y109" s="15" t="s">
        <v>1135</v>
      </c>
      <c r="Z109" s="15" t="s">
        <v>1139</v>
      </c>
      <c r="AA109" s="15" t="s">
        <v>2153</v>
      </c>
      <c r="AB109" s="13">
        <v>46073</v>
      </c>
      <c r="AC109" s="14"/>
    </row>
    <row r="110" spans="1:29" x14ac:dyDescent="0.35">
      <c r="A110" s="15">
        <v>109</v>
      </c>
      <c r="B110" s="15" t="s">
        <v>1513</v>
      </c>
      <c r="C110" s="16" t="s">
        <v>1514</v>
      </c>
      <c r="D110" s="15" t="s">
        <v>575</v>
      </c>
      <c r="E110" s="13">
        <v>45975</v>
      </c>
      <c r="F110" s="15" t="s">
        <v>1515</v>
      </c>
      <c r="G110" s="13">
        <v>45975</v>
      </c>
      <c r="H110" s="15" t="s">
        <v>56</v>
      </c>
      <c r="I110" s="15" t="s">
        <v>1134</v>
      </c>
      <c r="J110" s="15"/>
      <c r="K110" s="15" t="s">
        <v>1135</v>
      </c>
      <c r="L110" s="15" t="s">
        <v>1135</v>
      </c>
      <c r="M110" s="18" t="s">
        <v>1516</v>
      </c>
      <c r="N110" s="18" t="s">
        <v>1517</v>
      </c>
      <c r="O110" s="15" t="s">
        <v>1518</v>
      </c>
      <c r="P110" s="15"/>
      <c r="Q110" s="15"/>
      <c r="R110" s="15">
        <v>36346412</v>
      </c>
      <c r="S110" s="15">
        <v>1</v>
      </c>
      <c r="T110" s="17">
        <v>41072</v>
      </c>
      <c r="U110" s="17">
        <f t="shared" si="1"/>
        <v>41072</v>
      </c>
      <c r="V110" s="15" t="s">
        <v>1138</v>
      </c>
      <c r="W110" s="15" t="s">
        <v>1138</v>
      </c>
      <c r="X110" s="15" t="s">
        <v>1138</v>
      </c>
      <c r="Y110" s="15" t="s">
        <v>1135</v>
      </c>
      <c r="Z110" s="15" t="s">
        <v>1139</v>
      </c>
      <c r="AA110" s="15" t="s">
        <v>2153</v>
      </c>
      <c r="AB110" s="13">
        <v>46073</v>
      </c>
      <c r="AC110" s="14"/>
    </row>
    <row r="111" spans="1:29" x14ac:dyDescent="0.35">
      <c r="A111" s="15">
        <v>110</v>
      </c>
      <c r="B111" s="15" t="s">
        <v>1519</v>
      </c>
      <c r="C111" s="16" t="s">
        <v>1520</v>
      </c>
      <c r="D111" s="15" t="s">
        <v>578</v>
      </c>
      <c r="E111" s="13">
        <v>45976</v>
      </c>
      <c r="F111" s="15" t="s">
        <v>1521</v>
      </c>
      <c r="G111" s="13">
        <v>45976</v>
      </c>
      <c r="H111" s="15" t="s">
        <v>56</v>
      </c>
      <c r="I111" s="18" t="s">
        <v>1134</v>
      </c>
      <c r="J111" s="15"/>
      <c r="K111" s="15" t="s">
        <v>1135</v>
      </c>
      <c r="L111" s="15" t="s">
        <v>1135</v>
      </c>
      <c r="M111" s="18" t="s">
        <v>1522</v>
      </c>
      <c r="N111" s="18" t="s">
        <v>1512</v>
      </c>
      <c r="O111" s="15" t="s">
        <v>1260</v>
      </c>
      <c r="P111" s="15"/>
      <c r="Q111" s="15"/>
      <c r="R111" s="15">
        <v>36580760</v>
      </c>
      <c r="S111" s="15">
        <v>1</v>
      </c>
      <c r="T111" s="17">
        <v>6920</v>
      </c>
      <c r="U111" s="17">
        <f t="shared" si="1"/>
        <v>6920</v>
      </c>
      <c r="V111" s="15" t="s">
        <v>1138</v>
      </c>
      <c r="W111" s="15" t="s">
        <v>1138</v>
      </c>
      <c r="X111" s="15" t="s">
        <v>1138</v>
      </c>
      <c r="Y111" s="15" t="s">
        <v>1135</v>
      </c>
      <c r="Z111" s="15" t="s">
        <v>1139</v>
      </c>
      <c r="AA111" s="15" t="s">
        <v>2153</v>
      </c>
      <c r="AB111" s="13">
        <v>46073</v>
      </c>
      <c r="AC111" s="14"/>
    </row>
    <row r="112" spans="1:29" x14ac:dyDescent="0.35">
      <c r="A112" s="15">
        <v>111</v>
      </c>
      <c r="B112" s="15" t="s">
        <v>1523</v>
      </c>
      <c r="C112" s="16" t="s">
        <v>1524</v>
      </c>
      <c r="D112" s="15" t="s">
        <v>582</v>
      </c>
      <c r="E112" s="13">
        <v>45976</v>
      </c>
      <c r="F112" s="15" t="s">
        <v>1525</v>
      </c>
      <c r="G112" s="13">
        <v>45976</v>
      </c>
      <c r="H112" s="15" t="s">
        <v>56</v>
      </c>
      <c r="I112" s="18" t="s">
        <v>1134</v>
      </c>
      <c r="J112" s="15"/>
      <c r="K112" s="15" t="s">
        <v>1135</v>
      </c>
      <c r="L112" s="15" t="s">
        <v>1135</v>
      </c>
      <c r="M112" s="18" t="s">
        <v>1526</v>
      </c>
      <c r="N112" s="18" t="s">
        <v>1527</v>
      </c>
      <c r="O112" s="15" t="s">
        <v>1213</v>
      </c>
      <c r="P112" s="15"/>
      <c r="Q112" s="15"/>
      <c r="R112" s="15">
        <v>36317687</v>
      </c>
      <c r="S112" s="15">
        <v>1</v>
      </c>
      <c r="T112" s="17">
        <v>6920</v>
      </c>
      <c r="U112" s="17">
        <f t="shared" si="1"/>
        <v>6920</v>
      </c>
      <c r="V112" s="15" t="s">
        <v>1138</v>
      </c>
      <c r="W112" s="15" t="s">
        <v>1138</v>
      </c>
      <c r="X112" s="15" t="s">
        <v>1138</v>
      </c>
      <c r="Y112" s="15" t="s">
        <v>1135</v>
      </c>
      <c r="Z112" s="15" t="s">
        <v>1139</v>
      </c>
      <c r="AA112" s="15" t="s">
        <v>2153</v>
      </c>
      <c r="AB112" s="13">
        <v>46073</v>
      </c>
      <c r="AC112" s="14"/>
    </row>
    <row r="113" spans="1:29" x14ac:dyDescent="0.35">
      <c r="A113" s="15">
        <v>112</v>
      </c>
      <c r="B113" s="15" t="s">
        <v>1528</v>
      </c>
      <c r="C113" s="16" t="s">
        <v>1529</v>
      </c>
      <c r="D113" s="15" t="s">
        <v>589</v>
      </c>
      <c r="E113" s="13">
        <v>45978</v>
      </c>
      <c r="F113" s="15" t="s">
        <v>1530</v>
      </c>
      <c r="G113" s="13">
        <v>45978</v>
      </c>
      <c r="H113" s="15" t="s">
        <v>56</v>
      </c>
      <c r="I113" s="18" t="s">
        <v>1134</v>
      </c>
      <c r="J113" s="15"/>
      <c r="K113" s="15" t="s">
        <v>1135</v>
      </c>
      <c r="L113" s="15" t="s">
        <v>1135</v>
      </c>
      <c r="M113" s="18" t="s">
        <v>1531</v>
      </c>
      <c r="N113" s="18" t="s">
        <v>1532</v>
      </c>
      <c r="O113" s="15" t="s">
        <v>587</v>
      </c>
      <c r="P113" s="15"/>
      <c r="Q113" s="15"/>
      <c r="R113" s="15">
        <v>33724041</v>
      </c>
      <c r="S113" s="15">
        <v>1</v>
      </c>
      <c r="T113" s="17">
        <v>6920</v>
      </c>
      <c r="U113" s="17">
        <f t="shared" si="1"/>
        <v>6920</v>
      </c>
      <c r="V113" s="15" t="s">
        <v>1138</v>
      </c>
      <c r="W113" s="15" t="s">
        <v>1138</v>
      </c>
      <c r="X113" s="15" t="s">
        <v>1138</v>
      </c>
      <c r="Y113" s="15" t="s">
        <v>1135</v>
      </c>
      <c r="Z113" s="15" t="s">
        <v>1139</v>
      </c>
      <c r="AA113" s="15" t="s">
        <v>2153</v>
      </c>
      <c r="AB113" s="13">
        <v>46073</v>
      </c>
      <c r="AC113" s="14"/>
    </row>
    <row r="114" spans="1:29" x14ac:dyDescent="0.35">
      <c r="A114" s="15">
        <v>113</v>
      </c>
      <c r="B114" s="15" t="s">
        <v>1528</v>
      </c>
      <c r="C114" s="16" t="s">
        <v>1529</v>
      </c>
      <c r="D114" s="15" t="s">
        <v>589</v>
      </c>
      <c r="E114" s="13">
        <v>45978</v>
      </c>
      <c r="F114" s="15" t="s">
        <v>1530</v>
      </c>
      <c r="G114" s="13">
        <v>45978</v>
      </c>
      <c r="H114" s="15" t="s">
        <v>56</v>
      </c>
      <c r="I114" s="18" t="s">
        <v>1134</v>
      </c>
      <c r="J114" s="15"/>
      <c r="K114" s="15" t="s">
        <v>1135</v>
      </c>
      <c r="L114" s="15" t="s">
        <v>1135</v>
      </c>
      <c r="M114" s="18" t="s">
        <v>1533</v>
      </c>
      <c r="N114" s="18" t="s">
        <v>1532</v>
      </c>
      <c r="O114" s="15" t="s">
        <v>365</v>
      </c>
      <c r="P114" s="15"/>
      <c r="Q114" s="15"/>
      <c r="R114" s="15">
        <v>36265238</v>
      </c>
      <c r="S114" s="15">
        <v>1</v>
      </c>
      <c r="T114" s="17">
        <v>43750</v>
      </c>
      <c r="U114" s="17">
        <f t="shared" si="1"/>
        <v>43750</v>
      </c>
      <c r="V114" s="15" t="s">
        <v>1138</v>
      </c>
      <c r="W114" s="15" t="s">
        <v>1138</v>
      </c>
      <c r="X114" s="15" t="s">
        <v>1138</v>
      </c>
      <c r="Y114" s="15" t="s">
        <v>1135</v>
      </c>
      <c r="Z114" s="15" t="s">
        <v>1139</v>
      </c>
      <c r="AA114" s="15" t="s">
        <v>2153</v>
      </c>
      <c r="AB114" s="13">
        <v>46073</v>
      </c>
      <c r="AC114" s="14"/>
    </row>
    <row r="115" spans="1:29" x14ac:dyDescent="0.35">
      <c r="A115" s="15">
        <v>114</v>
      </c>
      <c r="B115" s="15" t="s">
        <v>1534</v>
      </c>
      <c r="C115" s="16" t="s">
        <v>1535</v>
      </c>
      <c r="D115" s="15" t="s">
        <v>592</v>
      </c>
      <c r="E115" s="13">
        <v>45978</v>
      </c>
      <c r="F115" s="15" t="s">
        <v>1536</v>
      </c>
      <c r="G115" s="13">
        <v>45978</v>
      </c>
      <c r="H115" s="15" t="s">
        <v>56</v>
      </c>
      <c r="I115" s="15" t="s">
        <v>1134</v>
      </c>
      <c r="J115" s="15"/>
      <c r="K115" s="15" t="s">
        <v>1135</v>
      </c>
      <c r="L115" s="15" t="s">
        <v>1135</v>
      </c>
      <c r="M115" s="15" t="s">
        <v>1537</v>
      </c>
      <c r="N115" s="15" t="s">
        <v>1135</v>
      </c>
      <c r="O115" s="15" t="s">
        <v>1538</v>
      </c>
      <c r="P115" s="15"/>
      <c r="Q115" s="15"/>
      <c r="R115" s="15">
        <v>33891441</v>
      </c>
      <c r="S115" s="15">
        <v>1</v>
      </c>
      <c r="T115" s="17">
        <v>38933.129999999997</v>
      </c>
      <c r="U115" s="17">
        <f t="shared" si="1"/>
        <v>38933.129999999997</v>
      </c>
      <c r="V115" s="15" t="s">
        <v>1138</v>
      </c>
      <c r="W115" s="15" t="s">
        <v>1138</v>
      </c>
      <c r="X115" s="15" t="s">
        <v>1138</v>
      </c>
      <c r="Y115" s="15" t="s">
        <v>1135</v>
      </c>
      <c r="Z115" s="15" t="s">
        <v>1139</v>
      </c>
      <c r="AA115" s="15" t="s">
        <v>2153</v>
      </c>
      <c r="AB115" s="13">
        <v>46073</v>
      </c>
      <c r="AC115" s="14"/>
    </row>
    <row r="116" spans="1:29" x14ac:dyDescent="0.35">
      <c r="A116" s="15">
        <v>115</v>
      </c>
      <c r="B116" s="15" t="s">
        <v>1534</v>
      </c>
      <c r="C116" s="16" t="s">
        <v>1535</v>
      </c>
      <c r="D116" s="15" t="s">
        <v>592</v>
      </c>
      <c r="E116" s="13">
        <v>45978</v>
      </c>
      <c r="F116" s="15" t="s">
        <v>1536</v>
      </c>
      <c r="G116" s="13">
        <v>45978</v>
      </c>
      <c r="H116" s="15" t="s">
        <v>56</v>
      </c>
      <c r="I116" s="15" t="s">
        <v>1134</v>
      </c>
      <c r="J116" s="15"/>
      <c r="K116" s="15" t="s">
        <v>1135</v>
      </c>
      <c r="L116" s="15" t="s">
        <v>1135</v>
      </c>
      <c r="M116" s="18" t="s">
        <v>1539</v>
      </c>
      <c r="N116" s="15" t="s">
        <v>1135</v>
      </c>
      <c r="O116" s="15" t="s">
        <v>1279</v>
      </c>
      <c r="P116" s="15"/>
      <c r="Q116" s="15"/>
      <c r="R116" s="15">
        <v>33842546</v>
      </c>
      <c r="S116" s="15">
        <v>1</v>
      </c>
      <c r="T116" s="17">
        <v>38933.129999999997</v>
      </c>
      <c r="U116" s="17">
        <f t="shared" si="1"/>
        <v>38933.129999999997</v>
      </c>
      <c r="V116" s="15" t="s">
        <v>1138</v>
      </c>
      <c r="W116" s="15" t="s">
        <v>1138</v>
      </c>
      <c r="X116" s="15" t="s">
        <v>1138</v>
      </c>
      <c r="Y116" s="15" t="s">
        <v>1135</v>
      </c>
      <c r="Z116" s="15" t="s">
        <v>1139</v>
      </c>
      <c r="AA116" s="15" t="s">
        <v>2153</v>
      </c>
      <c r="AB116" s="13">
        <v>46073</v>
      </c>
      <c r="AC116" s="14"/>
    </row>
    <row r="117" spans="1:29" x14ac:dyDescent="0.35">
      <c r="A117" s="15">
        <v>116</v>
      </c>
      <c r="B117" s="15" t="s">
        <v>1534</v>
      </c>
      <c r="C117" s="16" t="s">
        <v>1535</v>
      </c>
      <c r="D117" s="15" t="s">
        <v>592</v>
      </c>
      <c r="E117" s="13">
        <v>45978</v>
      </c>
      <c r="F117" s="15" t="s">
        <v>1536</v>
      </c>
      <c r="G117" s="13">
        <v>45978</v>
      </c>
      <c r="H117" s="15" t="s">
        <v>56</v>
      </c>
      <c r="I117" s="15" t="s">
        <v>1134</v>
      </c>
      <c r="J117" s="15"/>
      <c r="K117" s="15" t="s">
        <v>1135</v>
      </c>
      <c r="L117" s="15" t="s">
        <v>1135</v>
      </c>
      <c r="M117" s="18" t="s">
        <v>1540</v>
      </c>
      <c r="N117" s="15" t="s">
        <v>1135</v>
      </c>
      <c r="O117" s="15" t="s">
        <v>169</v>
      </c>
      <c r="P117" s="15"/>
      <c r="Q117" s="15"/>
      <c r="R117" s="15">
        <v>36988046</v>
      </c>
      <c r="S117" s="15">
        <v>1</v>
      </c>
      <c r="T117" s="17">
        <v>3571</v>
      </c>
      <c r="U117" s="17">
        <f t="shared" si="1"/>
        <v>3571</v>
      </c>
      <c r="V117" s="15" t="s">
        <v>1138</v>
      </c>
      <c r="W117" s="15" t="s">
        <v>1138</v>
      </c>
      <c r="X117" s="15" t="s">
        <v>1138</v>
      </c>
      <c r="Y117" s="15" t="s">
        <v>1135</v>
      </c>
      <c r="Z117" s="15" t="s">
        <v>1139</v>
      </c>
      <c r="AA117" s="15" t="s">
        <v>2153</v>
      </c>
      <c r="AB117" s="13">
        <v>46073</v>
      </c>
      <c r="AC117" s="14"/>
    </row>
    <row r="118" spans="1:29" x14ac:dyDescent="0.35">
      <c r="A118" s="15">
        <v>117</v>
      </c>
      <c r="B118" s="15" t="s">
        <v>1541</v>
      </c>
      <c r="C118" s="16" t="s">
        <v>1542</v>
      </c>
      <c r="D118" s="15" t="s">
        <v>600</v>
      </c>
      <c r="E118" s="13">
        <v>45978</v>
      </c>
      <c r="F118" s="15" t="s">
        <v>1543</v>
      </c>
      <c r="G118" s="15" t="s">
        <v>1135</v>
      </c>
      <c r="H118" s="15" t="s">
        <v>56</v>
      </c>
      <c r="I118" s="18" t="s">
        <v>1134</v>
      </c>
      <c r="J118" s="15"/>
      <c r="K118" s="15" t="s">
        <v>1135</v>
      </c>
      <c r="L118" s="15" t="s">
        <v>1135</v>
      </c>
      <c r="M118" s="15" t="s">
        <v>1544</v>
      </c>
      <c r="N118" s="15" t="s">
        <v>1135</v>
      </c>
      <c r="O118" s="15" t="s">
        <v>1242</v>
      </c>
      <c r="P118" s="15"/>
      <c r="Q118" s="15"/>
      <c r="R118" s="15">
        <v>34992172</v>
      </c>
      <c r="S118" s="15">
        <v>1</v>
      </c>
      <c r="T118" s="17">
        <v>38933.129999999997</v>
      </c>
      <c r="U118" s="17">
        <f t="shared" si="1"/>
        <v>38933.129999999997</v>
      </c>
      <c r="V118" s="15" t="s">
        <v>1138</v>
      </c>
      <c r="W118" s="15" t="s">
        <v>1138</v>
      </c>
      <c r="X118" s="15" t="s">
        <v>1138</v>
      </c>
      <c r="Y118" s="15" t="s">
        <v>1135</v>
      </c>
      <c r="Z118" s="15" t="s">
        <v>1139</v>
      </c>
      <c r="AA118" s="15" t="s">
        <v>2153</v>
      </c>
      <c r="AB118" s="13">
        <v>46073</v>
      </c>
      <c r="AC118" s="14"/>
    </row>
    <row r="119" spans="1:29" x14ac:dyDescent="0.35">
      <c r="A119" s="15">
        <v>118</v>
      </c>
      <c r="B119" s="15" t="s">
        <v>1541</v>
      </c>
      <c r="C119" s="16" t="s">
        <v>1542</v>
      </c>
      <c r="D119" s="15" t="s">
        <v>600</v>
      </c>
      <c r="E119" s="13">
        <v>45978</v>
      </c>
      <c r="F119" s="15" t="s">
        <v>1543</v>
      </c>
      <c r="G119" s="15" t="s">
        <v>1135</v>
      </c>
      <c r="H119" s="15" t="s">
        <v>56</v>
      </c>
      <c r="I119" s="18" t="s">
        <v>1134</v>
      </c>
      <c r="J119" s="15"/>
      <c r="K119" s="15" t="s">
        <v>1135</v>
      </c>
      <c r="L119" s="15" t="s">
        <v>1135</v>
      </c>
      <c r="M119" s="18" t="s">
        <v>1545</v>
      </c>
      <c r="N119" s="15" t="s">
        <v>1135</v>
      </c>
      <c r="O119" s="15" t="s">
        <v>1546</v>
      </c>
      <c r="P119" s="15"/>
      <c r="Q119" s="15"/>
      <c r="R119" s="15">
        <v>35888304</v>
      </c>
      <c r="S119" s="15">
        <v>1</v>
      </c>
      <c r="T119" s="17">
        <v>38933.129999999997</v>
      </c>
      <c r="U119" s="17">
        <f t="shared" si="1"/>
        <v>38933.129999999997</v>
      </c>
      <c r="V119" s="15" t="s">
        <v>1138</v>
      </c>
      <c r="W119" s="15" t="s">
        <v>1138</v>
      </c>
      <c r="X119" s="15" t="s">
        <v>1138</v>
      </c>
      <c r="Y119" s="15" t="s">
        <v>1135</v>
      </c>
      <c r="Z119" s="15" t="s">
        <v>1139</v>
      </c>
      <c r="AA119" s="15" t="s">
        <v>2153</v>
      </c>
      <c r="AB119" s="13">
        <v>46073</v>
      </c>
      <c r="AC119" s="14"/>
    </row>
    <row r="120" spans="1:29" x14ac:dyDescent="0.35">
      <c r="A120" s="15">
        <v>119</v>
      </c>
      <c r="B120" s="15" t="s">
        <v>1541</v>
      </c>
      <c r="C120" s="16" t="s">
        <v>1542</v>
      </c>
      <c r="D120" s="15" t="s">
        <v>600</v>
      </c>
      <c r="E120" s="13">
        <v>45978</v>
      </c>
      <c r="F120" s="15" t="s">
        <v>1543</v>
      </c>
      <c r="G120" s="15" t="s">
        <v>1135</v>
      </c>
      <c r="H120" s="15" t="s">
        <v>56</v>
      </c>
      <c r="I120" s="18" t="s">
        <v>1134</v>
      </c>
      <c r="J120" s="15"/>
      <c r="K120" s="15" t="s">
        <v>1135</v>
      </c>
      <c r="L120" s="15" t="s">
        <v>1135</v>
      </c>
      <c r="M120" s="18" t="s">
        <v>1547</v>
      </c>
      <c r="N120" s="15" t="s">
        <v>1135</v>
      </c>
      <c r="O120" s="15" t="s">
        <v>1548</v>
      </c>
      <c r="P120" s="15"/>
      <c r="Q120" s="15"/>
      <c r="R120" s="15">
        <v>36261931</v>
      </c>
      <c r="S120" s="15">
        <v>1</v>
      </c>
      <c r="T120" s="17">
        <v>6920</v>
      </c>
      <c r="U120" s="17">
        <f t="shared" si="1"/>
        <v>6920</v>
      </c>
      <c r="V120" s="15" t="s">
        <v>1138</v>
      </c>
      <c r="W120" s="15" t="s">
        <v>1138</v>
      </c>
      <c r="X120" s="15" t="s">
        <v>1138</v>
      </c>
      <c r="Y120" s="15" t="s">
        <v>1135</v>
      </c>
      <c r="Z120" s="15" t="s">
        <v>1139</v>
      </c>
      <c r="AA120" s="15" t="s">
        <v>2153</v>
      </c>
      <c r="AB120" s="13">
        <v>46073</v>
      </c>
      <c r="AC120" s="14"/>
    </row>
    <row r="121" spans="1:29" x14ac:dyDescent="0.35">
      <c r="A121" s="15">
        <v>120</v>
      </c>
      <c r="B121" s="15" t="s">
        <v>1541</v>
      </c>
      <c r="C121" s="16" t="s">
        <v>1542</v>
      </c>
      <c r="D121" s="15" t="s">
        <v>600</v>
      </c>
      <c r="E121" s="13">
        <v>45978</v>
      </c>
      <c r="F121" s="15" t="s">
        <v>1543</v>
      </c>
      <c r="G121" s="15" t="s">
        <v>1135</v>
      </c>
      <c r="H121" s="15" t="s">
        <v>56</v>
      </c>
      <c r="I121" s="18" t="s">
        <v>1134</v>
      </c>
      <c r="J121" s="15"/>
      <c r="K121" s="15" t="s">
        <v>1135</v>
      </c>
      <c r="L121" s="15" t="s">
        <v>1135</v>
      </c>
      <c r="M121" s="18" t="s">
        <v>1549</v>
      </c>
      <c r="N121" s="15" t="s">
        <v>1135</v>
      </c>
      <c r="O121" s="15" t="s">
        <v>1281</v>
      </c>
      <c r="P121" s="15"/>
      <c r="Q121" s="15"/>
      <c r="R121" s="15">
        <v>33686684</v>
      </c>
      <c r="S121" s="15">
        <v>1</v>
      </c>
      <c r="T121" s="17">
        <v>38933.129999999997</v>
      </c>
      <c r="U121" s="17">
        <f t="shared" si="1"/>
        <v>38933.129999999997</v>
      </c>
      <c r="V121" s="15" t="s">
        <v>1138</v>
      </c>
      <c r="W121" s="15" t="s">
        <v>1138</v>
      </c>
      <c r="X121" s="15" t="s">
        <v>1138</v>
      </c>
      <c r="Y121" s="15" t="s">
        <v>1135</v>
      </c>
      <c r="Z121" s="15" t="s">
        <v>1139</v>
      </c>
      <c r="AA121" s="15" t="s">
        <v>2153</v>
      </c>
      <c r="AB121" s="13">
        <v>46073</v>
      </c>
      <c r="AC121" s="14"/>
    </row>
    <row r="122" spans="1:29" x14ac:dyDescent="0.35">
      <c r="A122" s="15">
        <v>121</v>
      </c>
      <c r="B122" s="15" t="s">
        <v>1541</v>
      </c>
      <c r="C122" s="16" t="s">
        <v>1542</v>
      </c>
      <c r="D122" s="15" t="s">
        <v>600</v>
      </c>
      <c r="E122" s="13">
        <v>45978</v>
      </c>
      <c r="F122" s="15" t="s">
        <v>1543</v>
      </c>
      <c r="G122" s="15" t="s">
        <v>1135</v>
      </c>
      <c r="H122" s="15" t="s">
        <v>56</v>
      </c>
      <c r="I122" s="18" t="s">
        <v>1134</v>
      </c>
      <c r="J122" s="15"/>
      <c r="K122" s="15" t="s">
        <v>1135</v>
      </c>
      <c r="L122" s="15" t="s">
        <v>1135</v>
      </c>
      <c r="M122" s="18" t="s">
        <v>1550</v>
      </c>
      <c r="N122" s="15" t="s">
        <v>1135</v>
      </c>
      <c r="O122" s="15" t="s">
        <v>169</v>
      </c>
      <c r="P122" s="15"/>
      <c r="Q122" s="15"/>
      <c r="R122" s="15">
        <v>36988046</v>
      </c>
      <c r="S122" s="15">
        <v>1</v>
      </c>
      <c r="T122" s="17">
        <v>3571</v>
      </c>
      <c r="U122" s="17">
        <f t="shared" si="1"/>
        <v>3571</v>
      </c>
      <c r="V122" s="15" t="s">
        <v>1138</v>
      </c>
      <c r="W122" s="15" t="s">
        <v>1138</v>
      </c>
      <c r="X122" s="15" t="s">
        <v>1138</v>
      </c>
      <c r="Y122" s="15" t="s">
        <v>1135</v>
      </c>
      <c r="Z122" s="15" t="s">
        <v>1139</v>
      </c>
      <c r="AA122" s="15" t="s">
        <v>2153</v>
      </c>
      <c r="AB122" s="13">
        <v>46073</v>
      </c>
      <c r="AC122" s="14"/>
    </row>
    <row r="123" spans="1:29" x14ac:dyDescent="0.35">
      <c r="A123" s="15">
        <v>122</v>
      </c>
      <c r="B123" s="15" t="s">
        <v>1534</v>
      </c>
      <c r="C123" s="16" t="s">
        <v>1535</v>
      </c>
      <c r="D123" s="15" t="s">
        <v>592</v>
      </c>
      <c r="E123" s="13">
        <v>45978</v>
      </c>
      <c r="F123" s="15" t="s">
        <v>1536</v>
      </c>
      <c r="G123" s="13">
        <v>45978</v>
      </c>
      <c r="H123" s="15" t="s">
        <v>56</v>
      </c>
      <c r="I123" s="15" t="s">
        <v>1134</v>
      </c>
      <c r="J123" s="15"/>
      <c r="K123" s="15" t="s">
        <v>1135</v>
      </c>
      <c r="L123" s="15" t="s">
        <v>1135</v>
      </c>
      <c r="M123" s="15" t="s">
        <v>1551</v>
      </c>
      <c r="N123" s="15" t="s">
        <v>1135</v>
      </c>
      <c r="O123" s="15" t="s">
        <v>1552</v>
      </c>
      <c r="P123" s="15"/>
      <c r="Q123" s="15"/>
      <c r="R123" s="15">
        <v>33292080</v>
      </c>
      <c r="S123" s="15">
        <v>1</v>
      </c>
      <c r="T123" s="17">
        <v>38933.129999999997</v>
      </c>
      <c r="U123" s="17">
        <f t="shared" si="1"/>
        <v>38933.129999999997</v>
      </c>
      <c r="V123" s="15" t="s">
        <v>1138</v>
      </c>
      <c r="W123" s="15" t="s">
        <v>1138</v>
      </c>
      <c r="X123" s="15" t="s">
        <v>1138</v>
      </c>
      <c r="Y123" s="15" t="s">
        <v>1135</v>
      </c>
      <c r="Z123" s="15" t="s">
        <v>1139</v>
      </c>
      <c r="AA123" s="15" t="s">
        <v>2153</v>
      </c>
      <c r="AB123" s="13">
        <v>46073</v>
      </c>
      <c r="AC123" s="14"/>
    </row>
    <row r="124" spans="1:29" x14ac:dyDescent="0.35">
      <c r="A124" s="15">
        <v>123</v>
      </c>
      <c r="B124" s="15" t="s">
        <v>1553</v>
      </c>
      <c r="C124" s="16" t="s">
        <v>1554</v>
      </c>
      <c r="D124" s="15" t="s">
        <v>616</v>
      </c>
      <c r="E124" s="13">
        <v>45979</v>
      </c>
      <c r="F124" s="15" t="s">
        <v>1555</v>
      </c>
      <c r="G124" s="13">
        <v>45979</v>
      </c>
      <c r="H124" s="15" t="s">
        <v>56</v>
      </c>
      <c r="I124" s="15" t="s">
        <v>1134</v>
      </c>
      <c r="J124" s="15"/>
      <c r="K124" s="15" t="s">
        <v>1135</v>
      </c>
      <c r="L124" s="15" t="s">
        <v>1135</v>
      </c>
      <c r="M124" s="18" t="s">
        <v>1556</v>
      </c>
      <c r="N124" s="15" t="s">
        <v>1135</v>
      </c>
      <c r="O124" s="15" t="s">
        <v>1472</v>
      </c>
      <c r="P124" s="15"/>
      <c r="Q124" s="15"/>
      <c r="R124" s="15">
        <v>36261944</v>
      </c>
      <c r="S124" s="15">
        <v>1</v>
      </c>
      <c r="T124" s="17">
        <v>6921</v>
      </c>
      <c r="U124" s="17">
        <f t="shared" si="1"/>
        <v>6921</v>
      </c>
      <c r="V124" s="15" t="s">
        <v>1138</v>
      </c>
      <c r="W124" s="15" t="s">
        <v>1138</v>
      </c>
      <c r="X124" s="15" t="s">
        <v>1138</v>
      </c>
      <c r="Y124" s="15" t="s">
        <v>1135</v>
      </c>
      <c r="Z124" s="15" t="s">
        <v>1139</v>
      </c>
      <c r="AA124" s="15" t="s">
        <v>2153</v>
      </c>
      <c r="AB124" s="13">
        <v>46073</v>
      </c>
      <c r="AC124" s="14"/>
    </row>
    <row r="125" spans="1:29" x14ac:dyDescent="0.35">
      <c r="A125" s="15">
        <v>124</v>
      </c>
      <c r="B125" s="15" t="s">
        <v>1557</v>
      </c>
      <c r="C125" s="16" t="s">
        <v>1558</v>
      </c>
      <c r="D125" s="15" t="s">
        <v>614</v>
      </c>
      <c r="E125" s="13">
        <v>45979</v>
      </c>
      <c r="F125" s="15" t="s">
        <v>1559</v>
      </c>
      <c r="G125" s="13">
        <v>45979</v>
      </c>
      <c r="H125" s="15" t="s">
        <v>56</v>
      </c>
      <c r="I125" s="15" t="s">
        <v>1134</v>
      </c>
      <c r="J125" s="15"/>
      <c r="K125" s="15" t="s">
        <v>1135</v>
      </c>
      <c r="L125" s="15" t="s">
        <v>1135</v>
      </c>
      <c r="M125" s="18" t="s">
        <v>1560</v>
      </c>
      <c r="N125" s="15" t="s">
        <v>1135</v>
      </c>
      <c r="O125" s="15" t="s">
        <v>519</v>
      </c>
      <c r="P125" s="15"/>
      <c r="Q125" s="15"/>
      <c r="R125" s="15">
        <v>36371997</v>
      </c>
      <c r="S125" s="15">
        <v>1</v>
      </c>
      <c r="T125" s="17">
        <v>3571</v>
      </c>
      <c r="U125" s="17">
        <f t="shared" si="1"/>
        <v>3571</v>
      </c>
      <c r="V125" s="15" t="s">
        <v>1138</v>
      </c>
      <c r="W125" s="15" t="s">
        <v>1138</v>
      </c>
      <c r="X125" s="15" t="s">
        <v>1138</v>
      </c>
      <c r="Y125" s="15" t="s">
        <v>1135</v>
      </c>
      <c r="Z125" s="15" t="s">
        <v>1139</v>
      </c>
      <c r="AA125" s="15" t="s">
        <v>2153</v>
      </c>
      <c r="AB125" s="13">
        <v>46073</v>
      </c>
      <c r="AC125" s="14"/>
    </row>
    <row r="126" spans="1:29" x14ac:dyDescent="0.35">
      <c r="A126" s="15">
        <v>125</v>
      </c>
      <c r="B126" s="15" t="s">
        <v>1561</v>
      </c>
      <c r="C126" s="16" t="s">
        <v>1562</v>
      </c>
      <c r="D126" s="15" t="s">
        <v>618</v>
      </c>
      <c r="E126" s="13">
        <v>45979</v>
      </c>
      <c r="F126" s="15" t="s">
        <v>1563</v>
      </c>
      <c r="G126" s="13">
        <v>45979</v>
      </c>
      <c r="H126" s="15" t="s">
        <v>56</v>
      </c>
      <c r="I126" s="18" t="s">
        <v>1134</v>
      </c>
      <c r="J126" s="15"/>
      <c r="K126" s="15" t="s">
        <v>1135</v>
      </c>
      <c r="L126" s="15" t="s">
        <v>1135</v>
      </c>
      <c r="M126" s="15" t="s">
        <v>1564</v>
      </c>
      <c r="N126" s="18" t="s">
        <v>1565</v>
      </c>
      <c r="O126" s="15" t="s">
        <v>1566</v>
      </c>
      <c r="P126" s="15"/>
      <c r="Q126" s="15"/>
      <c r="R126" s="15">
        <v>35167457</v>
      </c>
      <c r="S126" s="15">
        <v>1</v>
      </c>
      <c r="T126" s="17">
        <v>38932</v>
      </c>
      <c r="U126" s="17">
        <f t="shared" si="1"/>
        <v>38932</v>
      </c>
      <c r="V126" s="15" t="s">
        <v>1138</v>
      </c>
      <c r="W126" s="15" t="s">
        <v>1138</v>
      </c>
      <c r="X126" s="15" t="s">
        <v>1138</v>
      </c>
      <c r="Y126" s="15" t="s">
        <v>1135</v>
      </c>
      <c r="Z126" s="15" t="s">
        <v>1139</v>
      </c>
      <c r="AA126" s="15" t="s">
        <v>2153</v>
      </c>
      <c r="AB126" s="13">
        <v>46073</v>
      </c>
      <c r="AC126" s="14"/>
    </row>
    <row r="127" spans="1:29" x14ac:dyDescent="0.35">
      <c r="A127" s="15">
        <v>126</v>
      </c>
      <c r="B127" s="15" t="s">
        <v>1561</v>
      </c>
      <c r="C127" s="16" t="s">
        <v>1562</v>
      </c>
      <c r="D127" s="15" t="s">
        <v>618</v>
      </c>
      <c r="E127" s="13">
        <v>45979</v>
      </c>
      <c r="F127" s="15" t="s">
        <v>1563</v>
      </c>
      <c r="G127" s="13">
        <v>45979</v>
      </c>
      <c r="H127" s="15" t="s">
        <v>56</v>
      </c>
      <c r="I127" s="18" t="s">
        <v>1134</v>
      </c>
      <c r="J127" s="15"/>
      <c r="K127" s="15" t="s">
        <v>1135</v>
      </c>
      <c r="L127" s="15" t="s">
        <v>1135</v>
      </c>
      <c r="M127" s="18" t="s">
        <v>1567</v>
      </c>
      <c r="N127" s="18" t="s">
        <v>1565</v>
      </c>
      <c r="O127" s="15" t="s">
        <v>1437</v>
      </c>
      <c r="P127" s="15"/>
      <c r="Q127" s="15"/>
      <c r="R127" s="15">
        <v>36640410</v>
      </c>
      <c r="S127" s="15">
        <v>1</v>
      </c>
      <c r="T127" s="17">
        <v>6920</v>
      </c>
      <c r="U127" s="17">
        <f t="shared" si="1"/>
        <v>6920</v>
      </c>
      <c r="V127" s="15" t="s">
        <v>1138</v>
      </c>
      <c r="W127" s="15" t="s">
        <v>1138</v>
      </c>
      <c r="X127" s="15" t="s">
        <v>1138</v>
      </c>
      <c r="Y127" s="15" t="s">
        <v>1135</v>
      </c>
      <c r="Z127" s="15" t="s">
        <v>1139</v>
      </c>
      <c r="AA127" s="15" t="s">
        <v>2153</v>
      </c>
      <c r="AB127" s="13">
        <v>46073</v>
      </c>
      <c r="AC127" s="14"/>
    </row>
    <row r="128" spans="1:29" x14ac:dyDescent="0.35">
      <c r="A128" s="15">
        <v>127</v>
      </c>
      <c r="B128" s="15" t="s">
        <v>1561</v>
      </c>
      <c r="C128" s="16" t="s">
        <v>1562</v>
      </c>
      <c r="D128" s="15" t="s">
        <v>618</v>
      </c>
      <c r="E128" s="13">
        <v>45979</v>
      </c>
      <c r="F128" s="15" t="s">
        <v>1563</v>
      </c>
      <c r="G128" s="13">
        <v>45979</v>
      </c>
      <c r="H128" s="15" t="s">
        <v>56</v>
      </c>
      <c r="I128" s="18" t="s">
        <v>1134</v>
      </c>
      <c r="J128" s="15"/>
      <c r="K128" s="15" t="s">
        <v>1135</v>
      </c>
      <c r="L128" s="15" t="s">
        <v>1135</v>
      </c>
      <c r="M128" s="18" t="s">
        <v>1568</v>
      </c>
      <c r="N128" s="18" t="s">
        <v>1565</v>
      </c>
      <c r="O128" s="15" t="s">
        <v>262</v>
      </c>
      <c r="P128" s="15"/>
      <c r="Q128" s="15"/>
      <c r="R128" s="15">
        <v>36781431</v>
      </c>
      <c r="S128" s="15">
        <v>1</v>
      </c>
      <c r="T128" s="17">
        <v>3571</v>
      </c>
      <c r="U128" s="17">
        <f t="shared" si="1"/>
        <v>3571</v>
      </c>
      <c r="V128" s="15" t="s">
        <v>1138</v>
      </c>
      <c r="W128" s="15" t="s">
        <v>1138</v>
      </c>
      <c r="X128" s="15" t="s">
        <v>1138</v>
      </c>
      <c r="Y128" s="15" t="s">
        <v>1135</v>
      </c>
      <c r="Z128" s="15" t="s">
        <v>1139</v>
      </c>
      <c r="AA128" s="15" t="s">
        <v>2153</v>
      </c>
      <c r="AB128" s="13">
        <v>46073</v>
      </c>
      <c r="AC128" s="14"/>
    </row>
    <row r="129" spans="1:29" x14ac:dyDescent="0.35">
      <c r="A129" s="15">
        <v>128</v>
      </c>
      <c r="B129" s="15" t="s">
        <v>1569</v>
      </c>
      <c r="C129" s="16" t="s">
        <v>1570</v>
      </c>
      <c r="D129" s="15" t="s">
        <v>623</v>
      </c>
      <c r="E129" s="13">
        <v>45979</v>
      </c>
      <c r="F129" s="15" t="s">
        <v>1571</v>
      </c>
      <c r="G129" s="15" t="s">
        <v>1135</v>
      </c>
      <c r="H129" s="15" t="s">
        <v>56</v>
      </c>
      <c r="I129" s="15" t="s">
        <v>1134</v>
      </c>
      <c r="J129" s="15"/>
      <c r="K129" s="15" t="s">
        <v>1135</v>
      </c>
      <c r="L129" s="15" t="s">
        <v>1135</v>
      </c>
      <c r="M129" s="15" t="s">
        <v>1572</v>
      </c>
      <c r="N129" s="18" t="s">
        <v>1573</v>
      </c>
      <c r="O129" s="15" t="s">
        <v>1421</v>
      </c>
      <c r="P129" s="15"/>
      <c r="Q129" s="15"/>
      <c r="R129" s="15">
        <v>36978252</v>
      </c>
      <c r="S129" s="15">
        <v>1</v>
      </c>
      <c r="T129" s="17">
        <v>6920</v>
      </c>
      <c r="U129" s="17">
        <f t="shared" si="1"/>
        <v>6920</v>
      </c>
      <c r="V129" s="15" t="s">
        <v>1138</v>
      </c>
      <c r="W129" s="15" t="s">
        <v>1138</v>
      </c>
      <c r="X129" s="15" t="s">
        <v>1138</v>
      </c>
      <c r="Y129" s="15" t="s">
        <v>1135</v>
      </c>
      <c r="Z129" s="15" t="s">
        <v>1139</v>
      </c>
      <c r="AA129" s="15" t="s">
        <v>2153</v>
      </c>
      <c r="AB129" s="13">
        <v>46073</v>
      </c>
      <c r="AC129" s="14"/>
    </row>
    <row r="130" spans="1:29" x14ac:dyDescent="0.35">
      <c r="A130" s="15">
        <v>129</v>
      </c>
      <c r="B130" s="15" t="s">
        <v>1574</v>
      </c>
      <c r="C130" s="16" t="s">
        <v>1575</v>
      </c>
      <c r="D130" s="15" t="s">
        <v>630</v>
      </c>
      <c r="E130" s="13">
        <v>45980</v>
      </c>
      <c r="F130" s="15" t="s">
        <v>1576</v>
      </c>
      <c r="G130" s="13">
        <v>45980</v>
      </c>
      <c r="H130" s="15" t="s">
        <v>56</v>
      </c>
      <c r="I130" s="18" t="s">
        <v>1134</v>
      </c>
      <c r="J130" s="15"/>
      <c r="K130" s="15" t="s">
        <v>1135</v>
      </c>
      <c r="L130" s="15" t="s">
        <v>1135</v>
      </c>
      <c r="M130" s="18" t="s">
        <v>1577</v>
      </c>
      <c r="N130" s="18" t="s">
        <v>1578</v>
      </c>
      <c r="O130" s="15" t="s">
        <v>628</v>
      </c>
      <c r="P130" s="15"/>
      <c r="Q130" s="15"/>
      <c r="R130" s="15">
        <v>36580425</v>
      </c>
      <c r="S130" s="15">
        <v>1</v>
      </c>
      <c r="T130" s="17">
        <v>6920</v>
      </c>
      <c r="U130" s="17">
        <f t="shared" ref="U130:U193" si="2">T130*S130</f>
        <v>6920</v>
      </c>
      <c r="V130" s="15" t="s">
        <v>1138</v>
      </c>
      <c r="W130" s="15" t="s">
        <v>1138</v>
      </c>
      <c r="X130" s="15" t="s">
        <v>1138</v>
      </c>
      <c r="Y130" s="15" t="s">
        <v>1135</v>
      </c>
      <c r="Z130" s="15" t="s">
        <v>1139</v>
      </c>
      <c r="AA130" s="15" t="s">
        <v>2153</v>
      </c>
      <c r="AB130" s="13">
        <v>46073</v>
      </c>
      <c r="AC130" s="14"/>
    </row>
    <row r="131" spans="1:29" x14ac:dyDescent="0.35">
      <c r="A131" s="15">
        <v>130</v>
      </c>
      <c r="B131" s="15" t="s">
        <v>1579</v>
      </c>
      <c r="C131" s="16" t="s">
        <v>1580</v>
      </c>
      <c r="D131" s="15" t="s">
        <v>636</v>
      </c>
      <c r="E131" s="13">
        <v>45980</v>
      </c>
      <c r="F131" s="15" t="s">
        <v>1581</v>
      </c>
      <c r="G131" s="13">
        <v>45980</v>
      </c>
      <c r="H131" s="15" t="s">
        <v>56</v>
      </c>
      <c r="I131" s="15" t="s">
        <v>1134</v>
      </c>
      <c r="J131" s="15"/>
      <c r="K131" s="15" t="s">
        <v>1135</v>
      </c>
      <c r="L131" s="15" t="s">
        <v>1135</v>
      </c>
      <c r="M131" s="15" t="s">
        <v>1582</v>
      </c>
      <c r="N131" s="18" t="s">
        <v>1583</v>
      </c>
      <c r="O131" s="15" t="s">
        <v>1584</v>
      </c>
      <c r="P131" s="15"/>
      <c r="Q131" s="15"/>
      <c r="R131" s="15">
        <v>35017542</v>
      </c>
      <c r="S131" s="15">
        <v>1</v>
      </c>
      <c r="T131" s="17">
        <v>19500</v>
      </c>
      <c r="U131" s="17">
        <f t="shared" si="2"/>
        <v>19500</v>
      </c>
      <c r="V131" s="15" t="s">
        <v>1138</v>
      </c>
      <c r="W131" s="15" t="s">
        <v>1138</v>
      </c>
      <c r="X131" s="15" t="s">
        <v>1138</v>
      </c>
      <c r="Y131" s="15" t="s">
        <v>1135</v>
      </c>
      <c r="Z131" s="15" t="s">
        <v>1139</v>
      </c>
      <c r="AA131" s="15" t="s">
        <v>2153</v>
      </c>
      <c r="AB131" s="13">
        <v>46073</v>
      </c>
      <c r="AC131" s="14"/>
    </row>
    <row r="132" spans="1:29" x14ac:dyDescent="0.35">
      <c r="A132" s="15">
        <v>131</v>
      </c>
      <c r="B132" s="15" t="s">
        <v>1585</v>
      </c>
      <c r="C132" s="16" t="s">
        <v>1586</v>
      </c>
      <c r="D132" s="15" t="s">
        <v>638</v>
      </c>
      <c r="E132" s="13">
        <v>45980</v>
      </c>
      <c r="F132" s="15" t="s">
        <v>1587</v>
      </c>
      <c r="G132" s="13">
        <v>45980</v>
      </c>
      <c r="H132" s="15" t="s">
        <v>56</v>
      </c>
      <c r="I132" s="15" t="s">
        <v>1134</v>
      </c>
      <c r="J132" s="15"/>
      <c r="K132" s="15" t="s">
        <v>1135</v>
      </c>
      <c r="L132" s="15" t="s">
        <v>1135</v>
      </c>
      <c r="M132" s="18" t="s">
        <v>1588</v>
      </c>
      <c r="N132" s="18" t="s">
        <v>1589</v>
      </c>
      <c r="O132" s="15" t="s">
        <v>1156</v>
      </c>
      <c r="P132" s="15"/>
      <c r="Q132" s="15"/>
      <c r="R132" s="15">
        <v>36737531</v>
      </c>
      <c r="S132" s="15">
        <v>1</v>
      </c>
      <c r="T132" s="17">
        <v>6920</v>
      </c>
      <c r="U132" s="17">
        <f t="shared" si="2"/>
        <v>6920</v>
      </c>
      <c r="V132" s="15" t="s">
        <v>1138</v>
      </c>
      <c r="W132" s="15" t="s">
        <v>1138</v>
      </c>
      <c r="X132" s="15" t="s">
        <v>1138</v>
      </c>
      <c r="Y132" s="15" t="s">
        <v>1135</v>
      </c>
      <c r="Z132" s="15" t="s">
        <v>1139</v>
      </c>
      <c r="AA132" s="15" t="s">
        <v>2153</v>
      </c>
      <c r="AB132" s="13">
        <v>46073</v>
      </c>
      <c r="AC132" s="14"/>
    </row>
    <row r="133" spans="1:29" x14ac:dyDescent="0.35">
      <c r="A133" s="15">
        <v>132</v>
      </c>
      <c r="B133" s="15" t="s">
        <v>1590</v>
      </c>
      <c r="C133" s="16" t="s">
        <v>1591</v>
      </c>
      <c r="D133" s="15" t="s">
        <v>640</v>
      </c>
      <c r="E133" s="13">
        <v>45980</v>
      </c>
      <c r="F133" s="15" t="s">
        <v>1592</v>
      </c>
      <c r="G133" s="15" t="s">
        <v>1135</v>
      </c>
      <c r="H133" s="15" t="s">
        <v>56</v>
      </c>
      <c r="I133" s="15" t="s">
        <v>1134</v>
      </c>
      <c r="J133" s="15"/>
      <c r="K133" s="15" t="s">
        <v>1135</v>
      </c>
      <c r="L133" s="15" t="s">
        <v>1135</v>
      </c>
      <c r="M133" s="18" t="s">
        <v>1593</v>
      </c>
      <c r="N133" s="18" t="s">
        <v>1594</v>
      </c>
      <c r="O133" s="15" t="s">
        <v>1441</v>
      </c>
      <c r="P133" s="15"/>
      <c r="Q133" s="15"/>
      <c r="R133" s="15">
        <v>37317376</v>
      </c>
      <c r="S133" s="15">
        <v>1</v>
      </c>
      <c r="T133" s="17">
        <v>6920</v>
      </c>
      <c r="U133" s="17">
        <f t="shared" si="2"/>
        <v>6920</v>
      </c>
      <c r="V133" s="15" t="s">
        <v>1138</v>
      </c>
      <c r="W133" s="15" t="s">
        <v>1138</v>
      </c>
      <c r="X133" s="15" t="s">
        <v>1138</v>
      </c>
      <c r="Y133" s="15" t="s">
        <v>1135</v>
      </c>
      <c r="Z133" s="15" t="s">
        <v>1139</v>
      </c>
      <c r="AA133" s="15" t="s">
        <v>2153</v>
      </c>
      <c r="AB133" s="13">
        <v>46073</v>
      </c>
      <c r="AC133" s="14"/>
    </row>
    <row r="134" spans="1:29" x14ac:dyDescent="0.35">
      <c r="A134" s="15">
        <v>133</v>
      </c>
      <c r="B134" s="15" t="s">
        <v>1590</v>
      </c>
      <c r="C134" s="16" t="s">
        <v>1591</v>
      </c>
      <c r="D134" s="15" t="s">
        <v>640</v>
      </c>
      <c r="E134" s="13">
        <v>45980</v>
      </c>
      <c r="F134" s="15" t="s">
        <v>1592</v>
      </c>
      <c r="G134" s="15" t="s">
        <v>1135</v>
      </c>
      <c r="H134" s="15" t="s">
        <v>56</v>
      </c>
      <c r="I134" s="15" t="s">
        <v>1134</v>
      </c>
      <c r="J134" s="15"/>
      <c r="K134" s="15" t="s">
        <v>1135</v>
      </c>
      <c r="L134" s="15" t="s">
        <v>1135</v>
      </c>
      <c r="M134" s="18" t="s">
        <v>1595</v>
      </c>
      <c r="N134" s="18" t="s">
        <v>1594</v>
      </c>
      <c r="O134" s="15" t="s">
        <v>169</v>
      </c>
      <c r="P134" s="15"/>
      <c r="Q134" s="15"/>
      <c r="R134" s="15">
        <v>35280014</v>
      </c>
      <c r="S134" s="15">
        <v>1</v>
      </c>
      <c r="T134" s="17">
        <v>3571</v>
      </c>
      <c r="U134" s="17">
        <f t="shared" si="2"/>
        <v>3571</v>
      </c>
      <c r="V134" s="15" t="s">
        <v>1138</v>
      </c>
      <c r="W134" s="15" t="s">
        <v>1138</v>
      </c>
      <c r="X134" s="15" t="s">
        <v>1138</v>
      </c>
      <c r="Y134" s="15" t="s">
        <v>1135</v>
      </c>
      <c r="Z134" s="15" t="s">
        <v>1139</v>
      </c>
      <c r="AA134" s="15" t="s">
        <v>2153</v>
      </c>
      <c r="AB134" s="13">
        <v>46073</v>
      </c>
      <c r="AC134" s="14"/>
    </row>
    <row r="135" spans="1:29" x14ac:dyDescent="0.35">
      <c r="A135" s="15">
        <v>134</v>
      </c>
      <c r="B135" s="15" t="s">
        <v>1596</v>
      </c>
      <c r="C135" s="16" t="s">
        <v>1597</v>
      </c>
      <c r="D135" s="15" t="s">
        <v>648</v>
      </c>
      <c r="E135" s="13">
        <v>45981</v>
      </c>
      <c r="F135" s="15" t="s">
        <v>1598</v>
      </c>
      <c r="G135" s="13">
        <v>45981</v>
      </c>
      <c r="H135" s="15" t="s">
        <v>56</v>
      </c>
      <c r="I135" s="15" t="s">
        <v>1134</v>
      </c>
      <c r="J135" s="15"/>
      <c r="K135" s="15" t="s">
        <v>1135</v>
      </c>
      <c r="L135" s="15" t="s">
        <v>1135</v>
      </c>
      <c r="M135" s="15" t="s">
        <v>1599</v>
      </c>
      <c r="N135" s="18" t="s">
        <v>1600</v>
      </c>
      <c r="O135" s="15" t="s">
        <v>1601</v>
      </c>
      <c r="P135" s="15"/>
      <c r="Q135" s="15"/>
      <c r="R135" s="15">
        <v>35506824</v>
      </c>
      <c r="S135" s="15">
        <v>1</v>
      </c>
      <c r="T135" s="17">
        <v>19500</v>
      </c>
      <c r="U135" s="17">
        <f t="shared" si="2"/>
        <v>19500</v>
      </c>
      <c r="V135" s="15" t="s">
        <v>1138</v>
      </c>
      <c r="W135" s="15" t="s">
        <v>1138</v>
      </c>
      <c r="X135" s="15" t="s">
        <v>1138</v>
      </c>
      <c r="Y135" s="15" t="s">
        <v>1135</v>
      </c>
      <c r="Z135" s="15" t="s">
        <v>1139</v>
      </c>
      <c r="AA135" s="15" t="s">
        <v>2153</v>
      </c>
      <c r="AB135" s="13">
        <v>46073</v>
      </c>
      <c r="AC135" s="14"/>
    </row>
    <row r="136" spans="1:29" x14ac:dyDescent="0.35">
      <c r="A136" s="15">
        <v>135</v>
      </c>
      <c r="B136" s="15" t="s">
        <v>1602</v>
      </c>
      <c r="C136" s="16" t="s">
        <v>1603</v>
      </c>
      <c r="D136" s="15" t="s">
        <v>654</v>
      </c>
      <c r="E136" s="13">
        <v>45981</v>
      </c>
      <c r="F136" s="15" t="s">
        <v>1604</v>
      </c>
      <c r="G136" s="13">
        <v>45981</v>
      </c>
      <c r="H136" s="15" t="s">
        <v>56</v>
      </c>
      <c r="I136" s="18" t="s">
        <v>1134</v>
      </c>
      <c r="J136" s="15"/>
      <c r="K136" s="15" t="s">
        <v>1135</v>
      </c>
      <c r="L136" s="15" t="s">
        <v>1135</v>
      </c>
      <c r="M136" s="15" t="s">
        <v>1605</v>
      </c>
      <c r="N136" s="18" t="s">
        <v>1606</v>
      </c>
      <c r="O136" s="15" t="s">
        <v>652</v>
      </c>
      <c r="P136" s="15"/>
      <c r="Q136" s="15"/>
      <c r="R136" s="15">
        <v>31278568</v>
      </c>
      <c r="S136" s="15">
        <v>1</v>
      </c>
      <c r="T136" s="17">
        <v>3571</v>
      </c>
      <c r="U136" s="17">
        <f t="shared" si="2"/>
        <v>3571</v>
      </c>
      <c r="V136" s="15" t="s">
        <v>1138</v>
      </c>
      <c r="W136" s="15" t="s">
        <v>1138</v>
      </c>
      <c r="X136" s="15" t="s">
        <v>1138</v>
      </c>
      <c r="Y136" s="15" t="s">
        <v>1135</v>
      </c>
      <c r="Z136" s="15" t="s">
        <v>1139</v>
      </c>
      <c r="AA136" s="15" t="s">
        <v>2153</v>
      </c>
      <c r="AB136" s="13">
        <v>46073</v>
      </c>
      <c r="AC136" s="14"/>
    </row>
    <row r="137" spans="1:29" x14ac:dyDescent="0.35">
      <c r="A137" s="15">
        <v>136</v>
      </c>
      <c r="B137" s="15" t="s">
        <v>1602</v>
      </c>
      <c r="C137" s="16" t="s">
        <v>1603</v>
      </c>
      <c r="D137" s="15" t="s">
        <v>654</v>
      </c>
      <c r="E137" s="13">
        <v>45981</v>
      </c>
      <c r="F137" s="15" t="s">
        <v>1604</v>
      </c>
      <c r="G137" s="13">
        <v>45981</v>
      </c>
      <c r="H137" s="15" t="s">
        <v>56</v>
      </c>
      <c r="I137" s="18" t="s">
        <v>1134</v>
      </c>
      <c r="J137" s="15"/>
      <c r="K137" s="15" t="s">
        <v>1135</v>
      </c>
      <c r="L137" s="15" t="s">
        <v>1135</v>
      </c>
      <c r="M137" s="18" t="s">
        <v>1607</v>
      </c>
      <c r="N137" s="18" t="s">
        <v>1606</v>
      </c>
      <c r="O137" s="15" t="s">
        <v>1213</v>
      </c>
      <c r="P137" s="15"/>
      <c r="Q137" s="15"/>
      <c r="R137" s="15">
        <v>36317698</v>
      </c>
      <c r="S137" s="15">
        <v>1</v>
      </c>
      <c r="T137" s="17">
        <v>6920</v>
      </c>
      <c r="U137" s="17">
        <f t="shared" si="2"/>
        <v>6920</v>
      </c>
      <c r="V137" s="15" t="s">
        <v>1138</v>
      </c>
      <c r="W137" s="15" t="s">
        <v>1138</v>
      </c>
      <c r="X137" s="15" t="s">
        <v>1138</v>
      </c>
      <c r="Y137" s="15" t="s">
        <v>1135</v>
      </c>
      <c r="Z137" s="15" t="s">
        <v>1139</v>
      </c>
      <c r="AA137" s="15" t="s">
        <v>2153</v>
      </c>
      <c r="AB137" s="13">
        <v>46073</v>
      </c>
      <c r="AC137" s="14"/>
    </row>
    <row r="138" spans="1:29" x14ac:dyDescent="0.35">
      <c r="A138" s="15">
        <v>137</v>
      </c>
      <c r="B138" s="15" t="s">
        <v>1602</v>
      </c>
      <c r="C138" s="16" t="s">
        <v>1603</v>
      </c>
      <c r="D138" s="15" t="s">
        <v>654</v>
      </c>
      <c r="E138" s="13">
        <v>45981</v>
      </c>
      <c r="F138" s="15" t="s">
        <v>1604</v>
      </c>
      <c r="G138" s="13">
        <v>45981</v>
      </c>
      <c r="H138" s="15" t="s">
        <v>56</v>
      </c>
      <c r="I138" s="18" t="s">
        <v>1134</v>
      </c>
      <c r="J138" s="15"/>
      <c r="K138" s="15" t="s">
        <v>1135</v>
      </c>
      <c r="L138" s="15" t="s">
        <v>1135</v>
      </c>
      <c r="M138" s="18" t="s">
        <v>1608</v>
      </c>
      <c r="N138" s="18" t="s">
        <v>1606</v>
      </c>
      <c r="O138" s="15" t="s">
        <v>1609</v>
      </c>
      <c r="P138" s="15"/>
      <c r="Q138" s="15"/>
      <c r="R138" s="15">
        <v>36453767</v>
      </c>
      <c r="S138" s="15">
        <v>1</v>
      </c>
      <c r="T138" s="17">
        <v>38933.129999999997</v>
      </c>
      <c r="U138" s="17">
        <f t="shared" si="2"/>
        <v>38933.129999999997</v>
      </c>
      <c r="V138" s="15" t="s">
        <v>1138</v>
      </c>
      <c r="W138" s="15" t="s">
        <v>1138</v>
      </c>
      <c r="X138" s="15" t="s">
        <v>1138</v>
      </c>
      <c r="Y138" s="15" t="s">
        <v>1135</v>
      </c>
      <c r="Z138" s="15" t="s">
        <v>1139</v>
      </c>
      <c r="AA138" s="15" t="s">
        <v>2153</v>
      </c>
      <c r="AB138" s="13">
        <v>46073</v>
      </c>
      <c r="AC138" s="14"/>
    </row>
    <row r="139" spans="1:29" x14ac:dyDescent="0.35">
      <c r="A139" s="15">
        <v>138</v>
      </c>
      <c r="B139" s="15" t="s">
        <v>1602</v>
      </c>
      <c r="C139" s="16" t="s">
        <v>1603</v>
      </c>
      <c r="D139" s="15" t="s">
        <v>654</v>
      </c>
      <c r="E139" s="13">
        <v>45981</v>
      </c>
      <c r="F139" s="15" t="s">
        <v>1604</v>
      </c>
      <c r="G139" s="13">
        <v>45981</v>
      </c>
      <c r="H139" s="15" t="s">
        <v>56</v>
      </c>
      <c r="I139" s="18" t="s">
        <v>1134</v>
      </c>
      <c r="J139" s="15"/>
      <c r="K139" s="15" t="s">
        <v>1135</v>
      </c>
      <c r="L139" s="15" t="s">
        <v>1135</v>
      </c>
      <c r="M139" s="18" t="s">
        <v>1610</v>
      </c>
      <c r="N139" s="18" t="s">
        <v>1606</v>
      </c>
      <c r="O139" s="15" t="s">
        <v>1611</v>
      </c>
      <c r="P139" s="15"/>
      <c r="Q139" s="15"/>
      <c r="R139" s="15">
        <v>36156698</v>
      </c>
      <c r="S139" s="15">
        <v>1</v>
      </c>
      <c r="T139" s="17">
        <v>38933.129999999997</v>
      </c>
      <c r="U139" s="17">
        <f t="shared" si="2"/>
        <v>38933.129999999997</v>
      </c>
      <c r="V139" s="15" t="s">
        <v>1138</v>
      </c>
      <c r="W139" s="15" t="s">
        <v>1138</v>
      </c>
      <c r="X139" s="15" t="s">
        <v>1138</v>
      </c>
      <c r="Y139" s="15" t="s">
        <v>1135</v>
      </c>
      <c r="Z139" s="15" t="s">
        <v>1139</v>
      </c>
      <c r="AA139" s="15" t="s">
        <v>2153</v>
      </c>
      <c r="AB139" s="13">
        <v>46073</v>
      </c>
      <c r="AC139" s="14"/>
    </row>
    <row r="140" spans="1:29" x14ac:dyDescent="0.35">
      <c r="A140" s="15">
        <v>139</v>
      </c>
      <c r="B140" s="15" t="s">
        <v>1612</v>
      </c>
      <c r="C140" s="16" t="s">
        <v>1613</v>
      </c>
      <c r="D140" s="15" t="s">
        <v>663</v>
      </c>
      <c r="E140" s="13">
        <v>45981</v>
      </c>
      <c r="F140" s="15" t="s">
        <v>1614</v>
      </c>
      <c r="G140" s="13">
        <v>45981</v>
      </c>
      <c r="H140" s="15" t="s">
        <v>56</v>
      </c>
      <c r="I140" s="15" t="s">
        <v>1134</v>
      </c>
      <c r="J140" s="15"/>
      <c r="K140" s="15" t="s">
        <v>1135</v>
      </c>
      <c r="L140" s="15" t="s">
        <v>1135</v>
      </c>
      <c r="M140" s="18" t="s">
        <v>1615</v>
      </c>
      <c r="N140" s="18" t="s">
        <v>1616</v>
      </c>
      <c r="O140" s="15" t="s">
        <v>1617</v>
      </c>
      <c r="P140" s="15"/>
      <c r="Q140" s="15"/>
      <c r="R140" s="15">
        <v>36317339</v>
      </c>
      <c r="S140" s="15">
        <v>1</v>
      </c>
      <c r="T140" s="17">
        <v>6920</v>
      </c>
      <c r="U140" s="17">
        <f t="shared" si="2"/>
        <v>6920</v>
      </c>
      <c r="V140" s="15" t="s">
        <v>1138</v>
      </c>
      <c r="W140" s="15" t="s">
        <v>1138</v>
      </c>
      <c r="X140" s="15" t="s">
        <v>1138</v>
      </c>
      <c r="Y140" s="15" t="s">
        <v>1135</v>
      </c>
      <c r="Z140" s="15" t="s">
        <v>1139</v>
      </c>
      <c r="AA140" s="15" t="s">
        <v>2153</v>
      </c>
      <c r="AB140" s="13">
        <v>46073</v>
      </c>
      <c r="AC140" s="14"/>
    </row>
    <row r="141" spans="1:29" x14ac:dyDescent="0.35">
      <c r="A141" s="15">
        <v>140</v>
      </c>
      <c r="B141" s="15" t="s">
        <v>1618</v>
      </c>
      <c r="C141" s="16" t="s">
        <v>1619</v>
      </c>
      <c r="D141" s="15" t="s">
        <v>665</v>
      </c>
      <c r="E141" s="13">
        <v>45981</v>
      </c>
      <c r="F141" s="15" t="s">
        <v>1620</v>
      </c>
      <c r="G141" s="13">
        <v>45981</v>
      </c>
      <c r="H141" s="15" t="s">
        <v>56</v>
      </c>
      <c r="I141" s="18" t="s">
        <v>1134</v>
      </c>
      <c r="J141" s="15"/>
      <c r="K141" s="15" t="s">
        <v>1135</v>
      </c>
      <c r="L141" s="15" t="s">
        <v>1135</v>
      </c>
      <c r="M141" s="18" t="s">
        <v>1621</v>
      </c>
      <c r="N141" s="18" t="s">
        <v>1622</v>
      </c>
      <c r="O141" s="15" t="s">
        <v>1437</v>
      </c>
      <c r="P141" s="15"/>
      <c r="Q141" s="15"/>
      <c r="R141" s="15">
        <v>36640410</v>
      </c>
      <c r="S141" s="15">
        <v>1</v>
      </c>
      <c r="T141" s="17">
        <v>6920</v>
      </c>
      <c r="U141" s="17">
        <f t="shared" si="2"/>
        <v>6920</v>
      </c>
      <c r="V141" s="15" t="s">
        <v>1138</v>
      </c>
      <c r="W141" s="15" t="s">
        <v>1138</v>
      </c>
      <c r="X141" s="15" t="s">
        <v>1138</v>
      </c>
      <c r="Y141" s="15" t="s">
        <v>1135</v>
      </c>
      <c r="Z141" s="15" t="s">
        <v>1139</v>
      </c>
      <c r="AA141" s="15" t="s">
        <v>2153</v>
      </c>
      <c r="AB141" s="13">
        <v>46073</v>
      </c>
      <c r="AC141" s="14"/>
    </row>
    <row r="142" spans="1:29" x14ac:dyDescent="0.35">
      <c r="A142" s="15">
        <v>141</v>
      </c>
      <c r="B142" s="15" t="s">
        <v>1623</v>
      </c>
      <c r="C142" s="16" t="s">
        <v>1624</v>
      </c>
      <c r="D142" s="15" t="s">
        <v>669</v>
      </c>
      <c r="E142" s="13">
        <v>45981</v>
      </c>
      <c r="F142" s="15" t="s">
        <v>1625</v>
      </c>
      <c r="G142" s="13">
        <v>45981</v>
      </c>
      <c r="H142" s="15" t="s">
        <v>56</v>
      </c>
      <c r="I142" s="18" t="s">
        <v>1134</v>
      </c>
      <c r="J142" s="15"/>
      <c r="K142" s="15" t="s">
        <v>1135</v>
      </c>
      <c r="L142" s="15" t="s">
        <v>1135</v>
      </c>
      <c r="M142" s="18" t="s">
        <v>1626</v>
      </c>
      <c r="N142" s="15" t="s">
        <v>1135</v>
      </c>
      <c r="O142" s="15" t="s">
        <v>1204</v>
      </c>
      <c r="P142" s="15"/>
      <c r="Q142" s="15"/>
      <c r="R142" s="15">
        <v>34511691</v>
      </c>
      <c r="S142" s="15">
        <v>1</v>
      </c>
      <c r="T142" s="17">
        <v>38933.129999999997</v>
      </c>
      <c r="U142" s="17">
        <f t="shared" si="2"/>
        <v>38933.129999999997</v>
      </c>
      <c r="V142" s="15" t="s">
        <v>1138</v>
      </c>
      <c r="W142" s="15" t="s">
        <v>1138</v>
      </c>
      <c r="X142" s="15" t="s">
        <v>1138</v>
      </c>
      <c r="Y142" s="15" t="s">
        <v>1135</v>
      </c>
      <c r="Z142" s="15" t="s">
        <v>1139</v>
      </c>
      <c r="AA142" s="15" t="s">
        <v>2153</v>
      </c>
      <c r="AB142" s="13">
        <v>46073</v>
      </c>
      <c r="AC142" s="14"/>
    </row>
    <row r="143" spans="1:29" x14ac:dyDescent="0.35">
      <c r="A143" s="15">
        <v>142</v>
      </c>
      <c r="B143" s="15" t="s">
        <v>1623</v>
      </c>
      <c r="C143" s="16" t="s">
        <v>1624</v>
      </c>
      <c r="D143" s="15" t="s">
        <v>669</v>
      </c>
      <c r="E143" s="13">
        <v>45981</v>
      </c>
      <c r="F143" s="15" t="s">
        <v>1625</v>
      </c>
      <c r="G143" s="13">
        <v>45981</v>
      </c>
      <c r="H143" s="15" t="s">
        <v>56</v>
      </c>
      <c r="I143" s="18" t="s">
        <v>1134</v>
      </c>
      <c r="J143" s="15"/>
      <c r="K143" s="15" t="s">
        <v>1135</v>
      </c>
      <c r="L143" s="15" t="s">
        <v>1135</v>
      </c>
      <c r="M143" s="18" t="s">
        <v>1627</v>
      </c>
      <c r="N143" s="15" t="s">
        <v>1135</v>
      </c>
      <c r="O143" s="15" t="s">
        <v>1313</v>
      </c>
      <c r="P143" s="15"/>
      <c r="Q143" s="15"/>
      <c r="R143" s="15">
        <v>35469233</v>
      </c>
      <c r="S143" s="15">
        <v>1</v>
      </c>
      <c r="T143" s="17">
        <v>38933.129999999997</v>
      </c>
      <c r="U143" s="17">
        <f t="shared" si="2"/>
        <v>38933.129999999997</v>
      </c>
      <c r="V143" s="15" t="s">
        <v>1138</v>
      </c>
      <c r="W143" s="15" t="s">
        <v>1138</v>
      </c>
      <c r="X143" s="15" t="s">
        <v>1138</v>
      </c>
      <c r="Y143" s="15" t="s">
        <v>1135</v>
      </c>
      <c r="Z143" s="15" t="s">
        <v>1139</v>
      </c>
      <c r="AA143" s="15" t="s">
        <v>2153</v>
      </c>
      <c r="AB143" s="13">
        <v>46073</v>
      </c>
      <c r="AC143" s="14"/>
    </row>
    <row r="144" spans="1:29" x14ac:dyDescent="0.35">
      <c r="A144" s="15">
        <v>143</v>
      </c>
      <c r="B144" s="15" t="s">
        <v>1628</v>
      </c>
      <c r="C144" s="16" t="s">
        <v>1629</v>
      </c>
      <c r="D144" s="15" t="s">
        <v>674</v>
      </c>
      <c r="E144" s="13">
        <v>45981</v>
      </c>
      <c r="F144" s="15" t="s">
        <v>1630</v>
      </c>
      <c r="G144" s="13">
        <v>45981</v>
      </c>
      <c r="H144" s="15" t="s">
        <v>56</v>
      </c>
      <c r="I144" s="18" t="s">
        <v>1134</v>
      </c>
      <c r="J144" s="15"/>
      <c r="K144" s="15" t="s">
        <v>1135</v>
      </c>
      <c r="L144" s="15" t="s">
        <v>1135</v>
      </c>
      <c r="M144" s="18" t="s">
        <v>1631</v>
      </c>
      <c r="N144" s="15" t="s">
        <v>1135</v>
      </c>
      <c r="O144" s="15" t="s">
        <v>1320</v>
      </c>
      <c r="P144" s="15"/>
      <c r="Q144" s="15"/>
      <c r="R144" s="15">
        <v>34748420</v>
      </c>
      <c r="S144" s="15">
        <v>1</v>
      </c>
      <c r="T144" s="17">
        <v>38933.129999999997</v>
      </c>
      <c r="U144" s="17">
        <f t="shared" si="2"/>
        <v>38933.129999999997</v>
      </c>
      <c r="V144" s="15" t="s">
        <v>1138</v>
      </c>
      <c r="W144" s="15" t="s">
        <v>1138</v>
      </c>
      <c r="X144" s="15" t="s">
        <v>1138</v>
      </c>
      <c r="Y144" s="15" t="s">
        <v>1135</v>
      </c>
      <c r="Z144" s="15" t="s">
        <v>1139</v>
      </c>
      <c r="AA144" s="15" t="s">
        <v>2153</v>
      </c>
      <c r="AB144" s="13">
        <v>46073</v>
      </c>
      <c r="AC144" s="14"/>
    </row>
    <row r="145" spans="1:29" x14ac:dyDescent="0.35">
      <c r="A145" s="15">
        <v>144</v>
      </c>
      <c r="B145" s="15" t="s">
        <v>1632</v>
      </c>
      <c r="C145" s="16" t="s">
        <v>1633</v>
      </c>
      <c r="D145" s="15" t="s">
        <v>678</v>
      </c>
      <c r="E145" s="13">
        <v>45982</v>
      </c>
      <c r="F145" s="15" t="s">
        <v>1634</v>
      </c>
      <c r="G145" s="13">
        <v>45982</v>
      </c>
      <c r="H145" s="15" t="s">
        <v>56</v>
      </c>
      <c r="I145" s="15" t="s">
        <v>1134</v>
      </c>
      <c r="J145" s="15"/>
      <c r="K145" s="15" t="s">
        <v>1135</v>
      </c>
      <c r="L145" s="15" t="s">
        <v>1135</v>
      </c>
      <c r="M145" s="18" t="s">
        <v>1635</v>
      </c>
      <c r="N145" s="18" t="s">
        <v>1636</v>
      </c>
      <c r="O145" s="15" t="s">
        <v>519</v>
      </c>
      <c r="P145" s="15"/>
      <c r="Q145" s="15"/>
      <c r="R145" s="15">
        <v>36371996</v>
      </c>
      <c r="S145" s="15">
        <v>1</v>
      </c>
      <c r="T145" s="17">
        <v>3571</v>
      </c>
      <c r="U145" s="17">
        <f t="shared" si="2"/>
        <v>3571</v>
      </c>
      <c r="V145" s="15" t="s">
        <v>1138</v>
      </c>
      <c r="W145" s="15" t="s">
        <v>1138</v>
      </c>
      <c r="X145" s="15" t="s">
        <v>1138</v>
      </c>
      <c r="Y145" s="15" t="s">
        <v>1135</v>
      </c>
      <c r="Z145" s="15" t="s">
        <v>1139</v>
      </c>
      <c r="AA145" s="15" t="s">
        <v>2153</v>
      </c>
      <c r="AB145" s="13">
        <v>46073</v>
      </c>
      <c r="AC145" s="14"/>
    </row>
    <row r="146" spans="1:29" x14ac:dyDescent="0.35">
      <c r="A146" s="15">
        <v>145</v>
      </c>
      <c r="B146" s="15" t="s">
        <v>1632</v>
      </c>
      <c r="C146" s="16" t="s">
        <v>1633</v>
      </c>
      <c r="D146" s="15" t="s">
        <v>678</v>
      </c>
      <c r="E146" s="13">
        <v>45982</v>
      </c>
      <c r="F146" s="15" t="s">
        <v>1634</v>
      </c>
      <c r="G146" s="13">
        <v>45982</v>
      </c>
      <c r="H146" s="15" t="s">
        <v>56</v>
      </c>
      <c r="I146" s="15" t="s">
        <v>1134</v>
      </c>
      <c r="J146" s="15"/>
      <c r="K146" s="15" t="s">
        <v>1135</v>
      </c>
      <c r="L146" s="15" t="s">
        <v>1135</v>
      </c>
      <c r="M146" s="18" t="s">
        <v>1637</v>
      </c>
      <c r="N146" s="18" t="s">
        <v>1636</v>
      </c>
      <c r="O146" s="15" t="s">
        <v>365</v>
      </c>
      <c r="P146" s="15"/>
      <c r="Q146" s="15"/>
      <c r="R146" s="15">
        <v>36265238</v>
      </c>
      <c r="S146" s="15">
        <v>1</v>
      </c>
      <c r="T146" s="17">
        <v>43750</v>
      </c>
      <c r="U146" s="17">
        <f t="shared" si="2"/>
        <v>43750</v>
      </c>
      <c r="V146" s="15" t="s">
        <v>1138</v>
      </c>
      <c r="W146" s="15" t="s">
        <v>1138</v>
      </c>
      <c r="X146" s="15" t="s">
        <v>1138</v>
      </c>
      <c r="Y146" s="15" t="s">
        <v>1135</v>
      </c>
      <c r="Z146" s="15" t="s">
        <v>1139</v>
      </c>
      <c r="AA146" s="15" t="s">
        <v>2153</v>
      </c>
      <c r="AB146" s="13">
        <v>46073</v>
      </c>
      <c r="AC146" s="14"/>
    </row>
    <row r="147" spans="1:29" x14ac:dyDescent="0.35">
      <c r="A147" s="15">
        <v>146</v>
      </c>
      <c r="B147" s="15" t="s">
        <v>1638</v>
      </c>
      <c r="C147" s="16" t="s">
        <v>1639</v>
      </c>
      <c r="D147" s="15" t="s">
        <v>680</v>
      </c>
      <c r="E147" s="13">
        <v>45982</v>
      </c>
      <c r="F147" s="15" t="s">
        <v>1640</v>
      </c>
      <c r="G147" s="13">
        <v>45982</v>
      </c>
      <c r="H147" s="15" t="s">
        <v>56</v>
      </c>
      <c r="I147" s="18" t="s">
        <v>1134</v>
      </c>
      <c r="J147" s="15"/>
      <c r="K147" s="15" t="s">
        <v>1135</v>
      </c>
      <c r="L147" s="15" t="s">
        <v>1135</v>
      </c>
      <c r="M147" s="18" t="s">
        <v>1641</v>
      </c>
      <c r="N147" s="15" t="s">
        <v>1135</v>
      </c>
      <c r="O147" s="15" t="s">
        <v>628</v>
      </c>
      <c r="P147" s="15"/>
      <c r="Q147" s="15"/>
      <c r="R147" s="15">
        <v>36580425</v>
      </c>
      <c r="S147" s="15">
        <v>1</v>
      </c>
      <c r="T147" s="17">
        <v>6920</v>
      </c>
      <c r="U147" s="17">
        <f t="shared" si="2"/>
        <v>6920</v>
      </c>
      <c r="V147" s="15" t="s">
        <v>1138</v>
      </c>
      <c r="W147" s="15" t="s">
        <v>1138</v>
      </c>
      <c r="X147" s="15" t="s">
        <v>1138</v>
      </c>
      <c r="Y147" s="15" t="s">
        <v>1135</v>
      </c>
      <c r="Z147" s="15" t="s">
        <v>1139</v>
      </c>
      <c r="AA147" s="15" t="s">
        <v>2153</v>
      </c>
      <c r="AB147" s="13">
        <v>46073</v>
      </c>
      <c r="AC147" s="14"/>
    </row>
    <row r="148" spans="1:29" x14ac:dyDescent="0.35">
      <c r="A148" s="15">
        <v>147</v>
      </c>
      <c r="B148" s="15" t="s">
        <v>1638</v>
      </c>
      <c r="C148" s="16" t="s">
        <v>1639</v>
      </c>
      <c r="D148" s="15" t="s">
        <v>680</v>
      </c>
      <c r="E148" s="13">
        <v>45982</v>
      </c>
      <c r="F148" s="15" t="s">
        <v>1640</v>
      </c>
      <c r="G148" s="13">
        <v>45982</v>
      </c>
      <c r="H148" s="15" t="s">
        <v>56</v>
      </c>
      <c r="I148" s="18" t="s">
        <v>1134</v>
      </c>
      <c r="J148" s="15"/>
      <c r="K148" s="15" t="s">
        <v>1135</v>
      </c>
      <c r="L148" s="15" t="s">
        <v>1135</v>
      </c>
      <c r="M148" s="18" t="s">
        <v>1642</v>
      </c>
      <c r="N148" s="15" t="s">
        <v>1135</v>
      </c>
      <c r="O148" s="15" t="s">
        <v>1548</v>
      </c>
      <c r="P148" s="15"/>
      <c r="Q148" s="15"/>
      <c r="R148" s="15">
        <v>36261931</v>
      </c>
      <c r="S148" s="15">
        <v>1</v>
      </c>
      <c r="T148" s="17">
        <v>6920</v>
      </c>
      <c r="U148" s="17">
        <f t="shared" si="2"/>
        <v>6920</v>
      </c>
      <c r="V148" s="15" t="s">
        <v>1138</v>
      </c>
      <c r="W148" s="15" t="s">
        <v>1138</v>
      </c>
      <c r="X148" s="15" t="s">
        <v>1138</v>
      </c>
      <c r="Y148" s="15" t="s">
        <v>1135</v>
      </c>
      <c r="Z148" s="15" t="s">
        <v>1139</v>
      </c>
      <c r="AA148" s="15" t="s">
        <v>2153</v>
      </c>
      <c r="AB148" s="13">
        <v>46073</v>
      </c>
      <c r="AC148" s="14"/>
    </row>
    <row r="149" spans="1:29" x14ac:dyDescent="0.35">
      <c r="A149" s="15">
        <v>148</v>
      </c>
      <c r="B149" s="15" t="s">
        <v>1638</v>
      </c>
      <c r="C149" s="16" t="s">
        <v>1639</v>
      </c>
      <c r="D149" s="15" t="s">
        <v>680</v>
      </c>
      <c r="E149" s="13">
        <v>45982</v>
      </c>
      <c r="F149" s="15" t="s">
        <v>1640</v>
      </c>
      <c r="G149" s="13">
        <v>45982</v>
      </c>
      <c r="H149" s="15" t="s">
        <v>56</v>
      </c>
      <c r="I149" s="18" t="s">
        <v>1134</v>
      </c>
      <c r="J149" s="15"/>
      <c r="K149" s="15" t="s">
        <v>1135</v>
      </c>
      <c r="L149" s="15" t="s">
        <v>1135</v>
      </c>
      <c r="M149" s="18" t="s">
        <v>1643</v>
      </c>
      <c r="N149" s="15" t="s">
        <v>1135</v>
      </c>
      <c r="O149" s="15" t="s">
        <v>169</v>
      </c>
      <c r="P149" s="15"/>
      <c r="Q149" s="15"/>
      <c r="R149" s="15">
        <v>37000428</v>
      </c>
      <c r="S149" s="15">
        <v>1</v>
      </c>
      <c r="T149" s="17">
        <v>3571</v>
      </c>
      <c r="U149" s="17">
        <f t="shared" si="2"/>
        <v>3571</v>
      </c>
      <c r="V149" s="15" t="s">
        <v>1138</v>
      </c>
      <c r="W149" s="15" t="s">
        <v>1138</v>
      </c>
      <c r="X149" s="15" t="s">
        <v>1138</v>
      </c>
      <c r="Y149" s="15" t="s">
        <v>1135</v>
      </c>
      <c r="Z149" s="15" t="s">
        <v>1139</v>
      </c>
      <c r="AA149" s="15" t="s">
        <v>2153</v>
      </c>
      <c r="AB149" s="13">
        <v>46073</v>
      </c>
      <c r="AC149" s="14"/>
    </row>
    <row r="150" spans="1:29" x14ac:dyDescent="0.35">
      <c r="A150" s="15">
        <v>149</v>
      </c>
      <c r="B150" s="15" t="s">
        <v>1644</v>
      </c>
      <c r="C150" s="16" t="s">
        <v>1645</v>
      </c>
      <c r="D150" s="15" t="s">
        <v>683</v>
      </c>
      <c r="E150" s="13">
        <v>45983</v>
      </c>
      <c r="F150" s="15" t="s">
        <v>1646</v>
      </c>
      <c r="G150" s="13">
        <v>45983</v>
      </c>
      <c r="H150" s="15" t="s">
        <v>56</v>
      </c>
      <c r="I150" s="18" t="s">
        <v>1134</v>
      </c>
      <c r="J150" s="15"/>
      <c r="K150" s="15" t="s">
        <v>1135</v>
      </c>
      <c r="L150" s="15" t="s">
        <v>1135</v>
      </c>
      <c r="M150" s="18" t="s">
        <v>1647</v>
      </c>
      <c r="N150" s="18" t="s">
        <v>1648</v>
      </c>
      <c r="O150" s="15" t="s">
        <v>1649</v>
      </c>
      <c r="P150" s="15"/>
      <c r="Q150" s="15"/>
      <c r="R150" s="15">
        <v>35749898</v>
      </c>
      <c r="S150" s="15">
        <v>1</v>
      </c>
      <c r="T150" s="17">
        <v>41071</v>
      </c>
      <c r="U150" s="17">
        <f t="shared" si="2"/>
        <v>41071</v>
      </c>
      <c r="V150" s="15" t="s">
        <v>1138</v>
      </c>
      <c r="W150" s="15" t="s">
        <v>1138</v>
      </c>
      <c r="X150" s="15" t="s">
        <v>1138</v>
      </c>
      <c r="Y150" s="15" t="s">
        <v>1135</v>
      </c>
      <c r="Z150" s="15" t="s">
        <v>1139</v>
      </c>
      <c r="AA150" s="15" t="s">
        <v>2153</v>
      </c>
      <c r="AB150" s="13">
        <v>46073</v>
      </c>
      <c r="AC150" s="14"/>
    </row>
    <row r="151" spans="1:29" x14ac:dyDescent="0.35">
      <c r="A151" s="15">
        <v>150</v>
      </c>
      <c r="B151" s="15" t="s">
        <v>1644</v>
      </c>
      <c r="C151" s="16" t="s">
        <v>1645</v>
      </c>
      <c r="D151" s="15" t="s">
        <v>683</v>
      </c>
      <c r="E151" s="13">
        <v>45983</v>
      </c>
      <c r="F151" s="15" t="s">
        <v>1646</v>
      </c>
      <c r="G151" s="13">
        <v>45983</v>
      </c>
      <c r="H151" s="15" t="s">
        <v>56</v>
      </c>
      <c r="I151" s="18" t="s">
        <v>1134</v>
      </c>
      <c r="J151" s="15"/>
      <c r="K151" s="15" t="s">
        <v>1135</v>
      </c>
      <c r="L151" s="15" t="s">
        <v>1135</v>
      </c>
      <c r="M151" s="18" t="s">
        <v>1650</v>
      </c>
      <c r="N151" s="18" t="s">
        <v>1648</v>
      </c>
      <c r="O151" s="15" t="s">
        <v>123</v>
      </c>
      <c r="P151" s="15"/>
      <c r="Q151" s="15"/>
      <c r="R151" s="15">
        <v>36580732</v>
      </c>
      <c r="S151" s="15">
        <v>1</v>
      </c>
      <c r="T151" s="17">
        <v>6920</v>
      </c>
      <c r="U151" s="17">
        <f t="shared" si="2"/>
        <v>6920</v>
      </c>
      <c r="V151" s="15" t="s">
        <v>1138</v>
      </c>
      <c r="W151" s="15" t="s">
        <v>1138</v>
      </c>
      <c r="X151" s="15" t="s">
        <v>1138</v>
      </c>
      <c r="Y151" s="15" t="s">
        <v>1135</v>
      </c>
      <c r="Z151" s="15" t="s">
        <v>1139</v>
      </c>
      <c r="AA151" s="15" t="s">
        <v>2153</v>
      </c>
      <c r="AB151" s="13">
        <v>46073</v>
      </c>
      <c r="AC151" s="14"/>
    </row>
    <row r="152" spans="1:29" x14ac:dyDescent="0.35">
      <c r="A152" s="15">
        <v>151</v>
      </c>
      <c r="B152" s="15" t="s">
        <v>1644</v>
      </c>
      <c r="C152" s="16" t="s">
        <v>1645</v>
      </c>
      <c r="D152" s="15" t="s">
        <v>683</v>
      </c>
      <c r="E152" s="13">
        <v>45983</v>
      </c>
      <c r="F152" s="15" t="s">
        <v>1646</v>
      </c>
      <c r="G152" s="13">
        <v>45983</v>
      </c>
      <c r="H152" s="15" t="s">
        <v>56</v>
      </c>
      <c r="I152" s="18" t="s">
        <v>1134</v>
      </c>
      <c r="J152" s="15"/>
      <c r="K152" s="15" t="s">
        <v>1135</v>
      </c>
      <c r="L152" s="15" t="s">
        <v>1135</v>
      </c>
      <c r="M152" s="18" t="s">
        <v>1651</v>
      </c>
      <c r="N152" s="18" t="s">
        <v>1648</v>
      </c>
      <c r="O152" s="15" t="s">
        <v>1652</v>
      </c>
      <c r="P152" s="15"/>
      <c r="Q152" s="15"/>
      <c r="R152" s="15">
        <v>36640410</v>
      </c>
      <c r="S152" s="15">
        <v>1</v>
      </c>
      <c r="T152" s="17">
        <v>6920</v>
      </c>
      <c r="U152" s="17">
        <f t="shared" si="2"/>
        <v>6920</v>
      </c>
      <c r="V152" s="15" t="s">
        <v>1138</v>
      </c>
      <c r="W152" s="15" t="s">
        <v>1138</v>
      </c>
      <c r="X152" s="15" t="s">
        <v>1138</v>
      </c>
      <c r="Y152" s="15" t="s">
        <v>1135</v>
      </c>
      <c r="Z152" s="15" t="s">
        <v>1139</v>
      </c>
      <c r="AA152" s="15" t="s">
        <v>2153</v>
      </c>
      <c r="AB152" s="13">
        <v>46073</v>
      </c>
      <c r="AC152" s="14"/>
    </row>
    <row r="153" spans="1:29" x14ac:dyDescent="0.35">
      <c r="A153" s="15">
        <v>152</v>
      </c>
      <c r="B153" s="15" t="s">
        <v>1644</v>
      </c>
      <c r="C153" s="16" t="s">
        <v>1645</v>
      </c>
      <c r="D153" s="15" t="s">
        <v>683</v>
      </c>
      <c r="E153" s="13">
        <v>45983</v>
      </c>
      <c r="F153" s="15" t="s">
        <v>1646</v>
      </c>
      <c r="G153" s="13">
        <v>45983</v>
      </c>
      <c r="H153" s="15" t="s">
        <v>56</v>
      </c>
      <c r="I153" s="18" t="s">
        <v>1134</v>
      </c>
      <c r="J153" s="15"/>
      <c r="K153" s="15" t="s">
        <v>1135</v>
      </c>
      <c r="L153" s="15" t="s">
        <v>1135</v>
      </c>
      <c r="M153" s="18" t="s">
        <v>1653</v>
      </c>
      <c r="N153" s="18" t="s">
        <v>1648</v>
      </c>
      <c r="O153" s="15" t="s">
        <v>365</v>
      </c>
      <c r="P153" s="15"/>
      <c r="Q153" s="15"/>
      <c r="R153" s="15">
        <v>36265238</v>
      </c>
      <c r="S153" s="15">
        <v>1</v>
      </c>
      <c r="T153" s="17">
        <v>43750</v>
      </c>
      <c r="U153" s="17">
        <f t="shared" si="2"/>
        <v>43750</v>
      </c>
      <c r="V153" s="15" t="s">
        <v>1138</v>
      </c>
      <c r="W153" s="15" t="s">
        <v>1138</v>
      </c>
      <c r="X153" s="15" t="s">
        <v>1138</v>
      </c>
      <c r="Y153" s="15" t="s">
        <v>1135</v>
      </c>
      <c r="Z153" s="15" t="s">
        <v>1139</v>
      </c>
      <c r="AA153" s="15" t="s">
        <v>2153</v>
      </c>
      <c r="AB153" s="13">
        <v>46073</v>
      </c>
      <c r="AC153" s="14"/>
    </row>
    <row r="154" spans="1:29" x14ac:dyDescent="0.35">
      <c r="A154" s="15">
        <v>153</v>
      </c>
      <c r="B154" s="15" t="s">
        <v>1654</v>
      </c>
      <c r="C154" s="16" t="s">
        <v>1655</v>
      </c>
      <c r="D154" s="15" t="s">
        <v>689</v>
      </c>
      <c r="E154" s="13">
        <v>45983</v>
      </c>
      <c r="F154" s="15" t="s">
        <v>1656</v>
      </c>
      <c r="G154" s="13">
        <v>45983</v>
      </c>
      <c r="H154" s="15" t="s">
        <v>56</v>
      </c>
      <c r="I154" s="15" t="s">
        <v>1134</v>
      </c>
      <c r="J154" s="15"/>
      <c r="K154" s="15" t="s">
        <v>1135</v>
      </c>
      <c r="L154" s="15" t="s">
        <v>1135</v>
      </c>
      <c r="M154" s="18" t="s">
        <v>1657</v>
      </c>
      <c r="N154" s="15" t="s">
        <v>1135</v>
      </c>
      <c r="O154" s="15" t="s">
        <v>1156</v>
      </c>
      <c r="P154" s="15"/>
      <c r="Q154" s="15"/>
      <c r="R154" s="15">
        <v>36737531</v>
      </c>
      <c r="S154" s="15">
        <v>1</v>
      </c>
      <c r="T154" s="17">
        <v>6920</v>
      </c>
      <c r="U154" s="17">
        <f t="shared" si="2"/>
        <v>6920</v>
      </c>
      <c r="V154" s="15" t="s">
        <v>1138</v>
      </c>
      <c r="W154" s="15" t="s">
        <v>1138</v>
      </c>
      <c r="X154" s="15" t="s">
        <v>1138</v>
      </c>
      <c r="Y154" s="15" t="s">
        <v>1135</v>
      </c>
      <c r="Z154" s="15" t="s">
        <v>1139</v>
      </c>
      <c r="AA154" s="15" t="s">
        <v>2153</v>
      </c>
      <c r="AB154" s="13">
        <v>46073</v>
      </c>
      <c r="AC154" s="14"/>
    </row>
    <row r="155" spans="1:29" x14ac:dyDescent="0.35">
      <c r="A155" s="15">
        <v>154</v>
      </c>
      <c r="B155" s="15" t="s">
        <v>1654</v>
      </c>
      <c r="C155" s="16" t="s">
        <v>1655</v>
      </c>
      <c r="D155" s="15" t="s">
        <v>689</v>
      </c>
      <c r="E155" s="13">
        <v>45983</v>
      </c>
      <c r="F155" s="15" t="s">
        <v>1656</v>
      </c>
      <c r="G155" s="13">
        <v>45983</v>
      </c>
      <c r="H155" s="15" t="s">
        <v>56</v>
      </c>
      <c r="I155" s="15" t="s">
        <v>1134</v>
      </c>
      <c r="J155" s="15"/>
      <c r="K155" s="15" t="s">
        <v>1135</v>
      </c>
      <c r="L155" s="15" t="s">
        <v>1135</v>
      </c>
      <c r="M155" s="18" t="s">
        <v>1658</v>
      </c>
      <c r="N155" s="15" t="s">
        <v>1135</v>
      </c>
      <c r="O155" s="15" t="s">
        <v>1659</v>
      </c>
      <c r="P155" s="15"/>
      <c r="Q155" s="15"/>
      <c r="R155" s="15">
        <v>35999031</v>
      </c>
      <c r="S155" s="15">
        <v>1</v>
      </c>
      <c r="T155" s="17">
        <v>38933.129999999997</v>
      </c>
      <c r="U155" s="17">
        <f t="shared" si="2"/>
        <v>38933.129999999997</v>
      </c>
      <c r="V155" s="15" t="s">
        <v>1138</v>
      </c>
      <c r="W155" s="15" t="s">
        <v>1138</v>
      </c>
      <c r="X155" s="15" t="s">
        <v>1138</v>
      </c>
      <c r="Y155" s="15" t="s">
        <v>1135</v>
      </c>
      <c r="Z155" s="15" t="s">
        <v>1139</v>
      </c>
      <c r="AA155" s="15" t="s">
        <v>2153</v>
      </c>
      <c r="AB155" s="13">
        <v>46073</v>
      </c>
      <c r="AC155" s="14"/>
    </row>
    <row r="156" spans="1:29" x14ac:dyDescent="0.35">
      <c r="A156" s="15">
        <v>155</v>
      </c>
      <c r="B156" s="15" t="s">
        <v>1660</v>
      </c>
      <c r="C156" s="16" t="s">
        <v>1661</v>
      </c>
      <c r="D156" s="15" t="s">
        <v>698</v>
      </c>
      <c r="E156" s="13">
        <v>45983</v>
      </c>
      <c r="F156" s="15" t="s">
        <v>1662</v>
      </c>
      <c r="G156" s="13">
        <v>45983</v>
      </c>
      <c r="H156" s="15" t="s">
        <v>56</v>
      </c>
      <c r="I156" s="18" t="s">
        <v>1134</v>
      </c>
      <c r="J156" s="15"/>
      <c r="K156" s="15" t="s">
        <v>1135</v>
      </c>
      <c r="L156" s="15" t="s">
        <v>1135</v>
      </c>
      <c r="M156" s="15" t="s">
        <v>1663</v>
      </c>
      <c r="N156" s="18" t="s">
        <v>1664</v>
      </c>
      <c r="O156" s="15" t="s">
        <v>1665</v>
      </c>
      <c r="P156" s="15"/>
      <c r="Q156" s="15"/>
      <c r="R156" s="15">
        <v>34091423</v>
      </c>
      <c r="S156" s="15">
        <v>1</v>
      </c>
      <c r="T156" s="17">
        <v>6921</v>
      </c>
      <c r="U156" s="17">
        <f t="shared" si="2"/>
        <v>6921</v>
      </c>
      <c r="V156" s="15" t="s">
        <v>1138</v>
      </c>
      <c r="W156" s="15" t="s">
        <v>1138</v>
      </c>
      <c r="X156" s="15" t="s">
        <v>1138</v>
      </c>
      <c r="Y156" s="15" t="s">
        <v>1135</v>
      </c>
      <c r="Z156" s="15" t="s">
        <v>1139</v>
      </c>
      <c r="AA156" s="15" t="s">
        <v>2153</v>
      </c>
      <c r="AB156" s="13">
        <v>46073</v>
      </c>
      <c r="AC156" s="14"/>
    </row>
    <row r="157" spans="1:29" x14ac:dyDescent="0.35">
      <c r="A157" s="15">
        <v>156</v>
      </c>
      <c r="B157" s="15" t="s">
        <v>1660</v>
      </c>
      <c r="C157" s="16" t="s">
        <v>1661</v>
      </c>
      <c r="D157" s="15" t="s">
        <v>698</v>
      </c>
      <c r="E157" s="13">
        <v>45983</v>
      </c>
      <c r="F157" s="15" t="s">
        <v>1662</v>
      </c>
      <c r="G157" s="13">
        <v>45983</v>
      </c>
      <c r="H157" s="15" t="s">
        <v>56</v>
      </c>
      <c r="I157" s="18" t="s">
        <v>1134</v>
      </c>
      <c r="J157" s="15"/>
      <c r="K157" s="15" t="s">
        <v>1135</v>
      </c>
      <c r="L157" s="15" t="s">
        <v>1135</v>
      </c>
      <c r="M157" s="15" t="s">
        <v>1666</v>
      </c>
      <c r="N157" s="18" t="s">
        <v>1664</v>
      </c>
      <c r="O157" s="15" t="s">
        <v>1667</v>
      </c>
      <c r="P157" s="15"/>
      <c r="Q157" s="15"/>
      <c r="R157" s="15">
        <v>35221610</v>
      </c>
      <c r="S157" s="15">
        <v>1</v>
      </c>
      <c r="T157" s="17">
        <v>19500</v>
      </c>
      <c r="U157" s="17">
        <f t="shared" si="2"/>
        <v>19500</v>
      </c>
      <c r="V157" s="15" t="s">
        <v>1138</v>
      </c>
      <c r="W157" s="15" t="s">
        <v>1138</v>
      </c>
      <c r="X157" s="15" t="s">
        <v>1138</v>
      </c>
      <c r="Y157" s="15" t="s">
        <v>1135</v>
      </c>
      <c r="Z157" s="15" t="s">
        <v>1139</v>
      </c>
      <c r="AA157" s="15" t="s">
        <v>2153</v>
      </c>
      <c r="AB157" s="13">
        <v>46073</v>
      </c>
      <c r="AC157" s="14"/>
    </row>
    <row r="158" spans="1:29" x14ac:dyDescent="0.35">
      <c r="A158" s="15">
        <v>157</v>
      </c>
      <c r="B158" s="15" t="s">
        <v>1668</v>
      </c>
      <c r="C158" s="16" t="s">
        <v>1669</v>
      </c>
      <c r="D158" s="15" t="s">
        <v>711</v>
      </c>
      <c r="E158" s="13">
        <v>45985</v>
      </c>
      <c r="F158" s="15" t="s">
        <v>1135</v>
      </c>
      <c r="G158" s="15" t="s">
        <v>1135</v>
      </c>
      <c r="H158" s="15" t="s">
        <v>56</v>
      </c>
      <c r="I158" s="18" t="s">
        <v>1134</v>
      </c>
      <c r="J158" s="15"/>
      <c r="K158" s="15" t="s">
        <v>1135</v>
      </c>
      <c r="L158" s="15" t="s">
        <v>1135</v>
      </c>
      <c r="M158" s="18" t="s">
        <v>1670</v>
      </c>
      <c r="N158" s="15" t="s">
        <v>1135</v>
      </c>
      <c r="O158" s="15" t="s">
        <v>707</v>
      </c>
      <c r="P158" s="15"/>
      <c r="Q158" s="15"/>
      <c r="R158" s="15">
        <v>36575609</v>
      </c>
      <c r="S158" s="15">
        <v>1</v>
      </c>
      <c r="T158" s="17">
        <v>0</v>
      </c>
      <c r="U158" s="17">
        <f t="shared" si="2"/>
        <v>0</v>
      </c>
      <c r="V158" s="15" t="s">
        <v>1138</v>
      </c>
      <c r="W158" s="15" t="s">
        <v>1138</v>
      </c>
      <c r="X158" s="15" t="s">
        <v>1138</v>
      </c>
      <c r="Y158" s="15" t="s">
        <v>2166</v>
      </c>
      <c r="Z158" s="15" t="s">
        <v>1139</v>
      </c>
      <c r="AA158" s="15" t="s">
        <v>2153</v>
      </c>
      <c r="AB158" s="13">
        <v>46073</v>
      </c>
      <c r="AC158" s="14"/>
    </row>
    <row r="159" spans="1:29" x14ac:dyDescent="0.35">
      <c r="A159" s="15">
        <v>158</v>
      </c>
      <c r="B159" s="15" t="s">
        <v>1671</v>
      </c>
      <c r="C159" s="16" t="s">
        <v>1672</v>
      </c>
      <c r="D159" s="15" t="s">
        <v>714</v>
      </c>
      <c r="E159" s="13">
        <v>45986</v>
      </c>
      <c r="F159" s="15" t="s">
        <v>1673</v>
      </c>
      <c r="G159" s="13">
        <v>45986</v>
      </c>
      <c r="H159" s="15" t="s">
        <v>56</v>
      </c>
      <c r="I159" s="18" t="s">
        <v>1134</v>
      </c>
      <c r="J159" s="15"/>
      <c r="K159" s="15" t="s">
        <v>1135</v>
      </c>
      <c r="L159" s="15" t="s">
        <v>1135</v>
      </c>
      <c r="M159" s="18" t="s">
        <v>1674</v>
      </c>
      <c r="N159" s="18" t="s">
        <v>1675</v>
      </c>
      <c r="O159" s="15" t="s">
        <v>1548</v>
      </c>
      <c r="P159" s="15"/>
      <c r="Q159" s="15"/>
      <c r="R159" s="15">
        <v>36261931</v>
      </c>
      <c r="S159" s="15">
        <v>1</v>
      </c>
      <c r="T159" s="17">
        <v>6920</v>
      </c>
      <c r="U159" s="17">
        <f t="shared" si="2"/>
        <v>6920</v>
      </c>
      <c r="V159" s="15" t="s">
        <v>1138</v>
      </c>
      <c r="W159" s="15" t="s">
        <v>1138</v>
      </c>
      <c r="X159" s="15" t="s">
        <v>1138</v>
      </c>
      <c r="Y159" s="15" t="s">
        <v>1135</v>
      </c>
      <c r="Z159" s="15" t="s">
        <v>1139</v>
      </c>
      <c r="AA159" s="15" t="s">
        <v>2153</v>
      </c>
      <c r="AB159" s="13">
        <v>46073</v>
      </c>
      <c r="AC159" s="14"/>
    </row>
    <row r="160" spans="1:29" x14ac:dyDescent="0.35">
      <c r="A160" s="15">
        <v>159</v>
      </c>
      <c r="B160" s="15" t="s">
        <v>1676</v>
      </c>
      <c r="C160" s="16" t="s">
        <v>1677</v>
      </c>
      <c r="D160" s="15" t="s">
        <v>717</v>
      </c>
      <c r="E160" s="13">
        <v>45986</v>
      </c>
      <c r="F160" s="15" t="s">
        <v>1678</v>
      </c>
      <c r="G160" s="13">
        <v>45986</v>
      </c>
      <c r="H160" s="15" t="s">
        <v>56</v>
      </c>
      <c r="I160" s="15" t="s">
        <v>1134</v>
      </c>
      <c r="J160" s="15"/>
      <c r="K160" s="15" t="s">
        <v>1135</v>
      </c>
      <c r="L160" s="15" t="s">
        <v>1135</v>
      </c>
      <c r="M160" s="15" t="s">
        <v>1679</v>
      </c>
      <c r="N160" s="15" t="s">
        <v>1135</v>
      </c>
      <c r="O160" s="15" t="s">
        <v>1680</v>
      </c>
      <c r="P160" s="15"/>
      <c r="Q160" s="15"/>
      <c r="R160" s="15">
        <v>33347449</v>
      </c>
      <c r="S160" s="15">
        <v>1</v>
      </c>
      <c r="T160" s="17">
        <v>38933.129999999997</v>
      </c>
      <c r="U160" s="17">
        <f t="shared" si="2"/>
        <v>38933.129999999997</v>
      </c>
      <c r="V160" s="15" t="s">
        <v>1138</v>
      </c>
      <c r="W160" s="15" t="s">
        <v>1138</v>
      </c>
      <c r="X160" s="15" t="s">
        <v>1138</v>
      </c>
      <c r="Y160" s="15" t="s">
        <v>1135</v>
      </c>
      <c r="Z160" s="15" t="s">
        <v>1139</v>
      </c>
      <c r="AA160" s="15" t="s">
        <v>2153</v>
      </c>
      <c r="AB160" s="13">
        <v>46073</v>
      </c>
      <c r="AC160" s="14"/>
    </row>
    <row r="161" spans="1:29" x14ac:dyDescent="0.35">
      <c r="A161" s="15">
        <v>160</v>
      </c>
      <c r="B161" s="15" t="s">
        <v>1676</v>
      </c>
      <c r="C161" s="16" t="s">
        <v>1677</v>
      </c>
      <c r="D161" s="15" t="s">
        <v>717</v>
      </c>
      <c r="E161" s="13">
        <v>45986</v>
      </c>
      <c r="F161" s="15" t="s">
        <v>1678</v>
      </c>
      <c r="G161" s="13">
        <v>45986</v>
      </c>
      <c r="H161" s="15" t="s">
        <v>56</v>
      </c>
      <c r="I161" s="15" t="s">
        <v>1134</v>
      </c>
      <c r="J161" s="15"/>
      <c r="K161" s="15" t="s">
        <v>1135</v>
      </c>
      <c r="L161" s="15" t="s">
        <v>1135</v>
      </c>
      <c r="M161" s="15" t="s">
        <v>1681</v>
      </c>
      <c r="N161" s="15" t="s">
        <v>1135</v>
      </c>
      <c r="O161" s="15" t="s">
        <v>1682</v>
      </c>
      <c r="P161" s="15"/>
      <c r="Q161" s="15"/>
      <c r="R161" s="15">
        <v>35520260</v>
      </c>
      <c r="S161" s="15">
        <v>1</v>
      </c>
      <c r="T161" s="17">
        <v>38933.1</v>
      </c>
      <c r="U161" s="17">
        <f t="shared" si="2"/>
        <v>38933.1</v>
      </c>
      <c r="V161" s="15" t="s">
        <v>1138</v>
      </c>
      <c r="W161" s="15" t="s">
        <v>1138</v>
      </c>
      <c r="X161" s="15" t="s">
        <v>1138</v>
      </c>
      <c r="Y161" s="15" t="s">
        <v>1135</v>
      </c>
      <c r="Z161" s="15" t="s">
        <v>1139</v>
      </c>
      <c r="AA161" s="15" t="s">
        <v>2153</v>
      </c>
      <c r="AB161" s="13">
        <v>46073</v>
      </c>
      <c r="AC161" s="14"/>
    </row>
    <row r="162" spans="1:29" x14ac:dyDescent="0.35">
      <c r="A162" s="15">
        <v>161</v>
      </c>
      <c r="B162" s="15" t="s">
        <v>1676</v>
      </c>
      <c r="C162" s="16" t="s">
        <v>1677</v>
      </c>
      <c r="D162" s="15" t="s">
        <v>717</v>
      </c>
      <c r="E162" s="13">
        <v>45986</v>
      </c>
      <c r="F162" s="15" t="s">
        <v>1678</v>
      </c>
      <c r="G162" s="13">
        <v>45986</v>
      </c>
      <c r="H162" s="15" t="s">
        <v>56</v>
      </c>
      <c r="I162" s="15" t="s">
        <v>1134</v>
      </c>
      <c r="J162" s="15"/>
      <c r="K162" s="15" t="s">
        <v>1135</v>
      </c>
      <c r="L162" s="15" t="s">
        <v>1135</v>
      </c>
      <c r="M162" s="18" t="s">
        <v>1683</v>
      </c>
      <c r="N162" s="15" t="s">
        <v>1135</v>
      </c>
      <c r="O162" s="15" t="s">
        <v>1684</v>
      </c>
      <c r="P162" s="15"/>
      <c r="Q162" s="15"/>
      <c r="R162" s="15">
        <v>35622830</v>
      </c>
      <c r="S162" s="15">
        <v>1</v>
      </c>
      <c r="T162" s="17">
        <v>38933.1</v>
      </c>
      <c r="U162" s="17">
        <f t="shared" si="2"/>
        <v>38933.1</v>
      </c>
      <c r="V162" s="15" t="s">
        <v>1138</v>
      </c>
      <c r="W162" s="15" t="s">
        <v>1138</v>
      </c>
      <c r="X162" s="15" t="s">
        <v>1138</v>
      </c>
      <c r="Y162" s="15" t="s">
        <v>1135</v>
      </c>
      <c r="Z162" s="15" t="s">
        <v>1139</v>
      </c>
      <c r="AA162" s="15" t="s">
        <v>2153</v>
      </c>
      <c r="AB162" s="13">
        <v>46073</v>
      </c>
      <c r="AC162" s="14"/>
    </row>
    <row r="163" spans="1:29" x14ac:dyDescent="0.35">
      <c r="A163" s="15">
        <v>162</v>
      </c>
      <c r="B163" s="15" t="s">
        <v>1676</v>
      </c>
      <c r="C163" s="16" t="s">
        <v>1677</v>
      </c>
      <c r="D163" s="15" t="s">
        <v>717</v>
      </c>
      <c r="E163" s="13">
        <v>45986</v>
      </c>
      <c r="F163" s="15" t="s">
        <v>1678</v>
      </c>
      <c r="G163" s="13">
        <v>45986</v>
      </c>
      <c r="H163" s="15" t="s">
        <v>56</v>
      </c>
      <c r="I163" s="15" t="s">
        <v>1134</v>
      </c>
      <c r="J163" s="15"/>
      <c r="K163" s="15" t="s">
        <v>1135</v>
      </c>
      <c r="L163" s="15" t="s">
        <v>1135</v>
      </c>
      <c r="M163" s="18" t="s">
        <v>1685</v>
      </c>
      <c r="N163" s="15" t="s">
        <v>1135</v>
      </c>
      <c r="O163" s="15" t="s">
        <v>519</v>
      </c>
      <c r="P163" s="15"/>
      <c r="Q163" s="15"/>
      <c r="R163" s="15">
        <v>36708090</v>
      </c>
      <c r="S163" s="15">
        <v>1</v>
      </c>
      <c r="T163" s="17">
        <v>3571</v>
      </c>
      <c r="U163" s="17">
        <f t="shared" si="2"/>
        <v>3571</v>
      </c>
      <c r="V163" s="15" t="s">
        <v>1138</v>
      </c>
      <c r="W163" s="15" t="s">
        <v>1138</v>
      </c>
      <c r="X163" s="15" t="s">
        <v>1138</v>
      </c>
      <c r="Y163" s="15" t="s">
        <v>1135</v>
      </c>
      <c r="Z163" s="15" t="s">
        <v>1139</v>
      </c>
      <c r="AA163" s="15" t="s">
        <v>2153</v>
      </c>
      <c r="AB163" s="13">
        <v>46073</v>
      </c>
      <c r="AC163" s="14"/>
    </row>
    <row r="164" spans="1:29" x14ac:dyDescent="0.35">
      <c r="A164" s="15">
        <v>163</v>
      </c>
      <c r="B164" s="15" t="s">
        <v>1686</v>
      </c>
      <c r="C164" s="16" t="s">
        <v>1687</v>
      </c>
      <c r="D164" s="15" t="s">
        <v>730</v>
      </c>
      <c r="E164" s="13">
        <v>45986</v>
      </c>
      <c r="F164" s="15" t="s">
        <v>1688</v>
      </c>
      <c r="G164" s="13">
        <v>45986</v>
      </c>
      <c r="H164" s="15" t="s">
        <v>56</v>
      </c>
      <c r="I164" s="18" t="s">
        <v>1134</v>
      </c>
      <c r="J164" s="15"/>
      <c r="K164" s="15" t="s">
        <v>1135</v>
      </c>
      <c r="L164" s="15" t="s">
        <v>1135</v>
      </c>
      <c r="M164" s="15" t="s">
        <v>1689</v>
      </c>
      <c r="N164" s="15" t="s">
        <v>1135</v>
      </c>
      <c r="O164" s="15" t="s">
        <v>1407</v>
      </c>
      <c r="P164" s="15"/>
      <c r="Q164" s="15"/>
      <c r="R164" s="15">
        <v>34161188</v>
      </c>
      <c r="S164" s="15">
        <v>1</v>
      </c>
      <c r="T164" s="17">
        <v>6920</v>
      </c>
      <c r="U164" s="17">
        <f t="shared" si="2"/>
        <v>6920</v>
      </c>
      <c r="V164" s="15" t="s">
        <v>1138</v>
      </c>
      <c r="W164" s="15" t="s">
        <v>1138</v>
      </c>
      <c r="X164" s="15" t="s">
        <v>1138</v>
      </c>
      <c r="Y164" s="15" t="s">
        <v>1135</v>
      </c>
      <c r="Z164" s="15" t="s">
        <v>1139</v>
      </c>
      <c r="AA164" s="15" t="s">
        <v>2153</v>
      </c>
      <c r="AB164" s="13">
        <v>46073</v>
      </c>
      <c r="AC164" s="14"/>
    </row>
    <row r="165" spans="1:29" x14ac:dyDescent="0.35">
      <c r="A165" s="15">
        <v>164</v>
      </c>
      <c r="B165" s="15" t="s">
        <v>1686</v>
      </c>
      <c r="C165" s="16" t="s">
        <v>1687</v>
      </c>
      <c r="D165" s="15" t="s">
        <v>730</v>
      </c>
      <c r="E165" s="13">
        <v>45986</v>
      </c>
      <c r="F165" s="15" t="s">
        <v>1688</v>
      </c>
      <c r="G165" s="13">
        <v>45986</v>
      </c>
      <c r="H165" s="15" t="s">
        <v>56</v>
      </c>
      <c r="I165" s="18" t="s">
        <v>1134</v>
      </c>
      <c r="J165" s="15"/>
      <c r="K165" s="15" t="s">
        <v>1135</v>
      </c>
      <c r="L165" s="15" t="s">
        <v>1135</v>
      </c>
      <c r="M165" s="18" t="s">
        <v>1690</v>
      </c>
      <c r="N165" s="15" t="s">
        <v>1135</v>
      </c>
      <c r="O165" s="15" t="s">
        <v>628</v>
      </c>
      <c r="P165" s="15"/>
      <c r="Q165" s="15"/>
      <c r="R165" s="15">
        <v>36580425</v>
      </c>
      <c r="S165" s="15">
        <v>1</v>
      </c>
      <c r="T165" s="17">
        <v>6920</v>
      </c>
      <c r="U165" s="17">
        <f t="shared" si="2"/>
        <v>6920</v>
      </c>
      <c r="V165" s="15" t="s">
        <v>1138</v>
      </c>
      <c r="W165" s="15" t="s">
        <v>1138</v>
      </c>
      <c r="X165" s="15" t="s">
        <v>1138</v>
      </c>
      <c r="Y165" s="15" t="s">
        <v>1135</v>
      </c>
      <c r="Z165" s="15" t="s">
        <v>1139</v>
      </c>
      <c r="AA165" s="15" t="s">
        <v>2153</v>
      </c>
      <c r="AB165" s="13">
        <v>46073</v>
      </c>
      <c r="AC165" s="14"/>
    </row>
    <row r="166" spans="1:29" x14ac:dyDescent="0.35">
      <c r="A166" s="15">
        <v>165</v>
      </c>
      <c r="B166" s="15" t="s">
        <v>1691</v>
      </c>
      <c r="C166" s="16" t="s">
        <v>1692</v>
      </c>
      <c r="D166" s="15" t="s">
        <v>738</v>
      </c>
      <c r="E166" s="13">
        <v>45987</v>
      </c>
      <c r="F166" s="15" t="s">
        <v>1693</v>
      </c>
      <c r="G166" s="13">
        <v>45987</v>
      </c>
      <c r="H166" s="15" t="s">
        <v>56</v>
      </c>
      <c r="I166" s="18" t="s">
        <v>1134</v>
      </c>
      <c r="J166" s="15"/>
      <c r="K166" s="15" t="s">
        <v>1135</v>
      </c>
      <c r="L166" s="15" t="s">
        <v>1135</v>
      </c>
      <c r="M166" s="18" t="s">
        <v>1694</v>
      </c>
      <c r="N166" s="18" t="s">
        <v>1695</v>
      </c>
      <c r="O166" s="15" t="s">
        <v>1213</v>
      </c>
      <c r="P166" s="15"/>
      <c r="Q166" s="15"/>
      <c r="R166" s="15">
        <v>36317698</v>
      </c>
      <c r="S166" s="15">
        <v>1</v>
      </c>
      <c r="T166" s="17">
        <v>6920</v>
      </c>
      <c r="U166" s="17">
        <f t="shared" si="2"/>
        <v>6920</v>
      </c>
      <c r="V166" s="15" t="s">
        <v>1138</v>
      </c>
      <c r="W166" s="15" t="s">
        <v>1138</v>
      </c>
      <c r="X166" s="15" t="s">
        <v>1138</v>
      </c>
      <c r="Y166" s="15" t="s">
        <v>1135</v>
      </c>
      <c r="Z166" s="15" t="s">
        <v>1139</v>
      </c>
      <c r="AA166" s="15" t="s">
        <v>2153</v>
      </c>
      <c r="AB166" s="13">
        <v>46073</v>
      </c>
      <c r="AC166" s="14"/>
    </row>
    <row r="167" spans="1:29" x14ac:dyDescent="0.35">
      <c r="A167" s="15">
        <v>166</v>
      </c>
      <c r="B167" s="15" t="s">
        <v>1691</v>
      </c>
      <c r="C167" s="16" t="s">
        <v>1692</v>
      </c>
      <c r="D167" s="15" t="s">
        <v>738</v>
      </c>
      <c r="E167" s="13">
        <v>45987</v>
      </c>
      <c r="F167" s="15" t="s">
        <v>1693</v>
      </c>
      <c r="G167" s="13">
        <v>45987</v>
      </c>
      <c r="H167" s="15" t="s">
        <v>56</v>
      </c>
      <c r="I167" s="18" t="s">
        <v>1134</v>
      </c>
      <c r="J167" s="15"/>
      <c r="K167" s="15" t="s">
        <v>1135</v>
      </c>
      <c r="L167" s="15" t="s">
        <v>1135</v>
      </c>
      <c r="M167" s="18" t="s">
        <v>1696</v>
      </c>
      <c r="N167" s="18" t="s">
        <v>1695</v>
      </c>
      <c r="O167" s="15" t="s">
        <v>1697</v>
      </c>
      <c r="P167" s="15"/>
      <c r="Q167" s="15"/>
      <c r="R167" s="15">
        <v>36174694</v>
      </c>
      <c r="S167" s="15">
        <v>1</v>
      </c>
      <c r="T167" s="17">
        <v>19500</v>
      </c>
      <c r="U167" s="17">
        <f t="shared" si="2"/>
        <v>19500</v>
      </c>
      <c r="V167" s="15" t="s">
        <v>1138</v>
      </c>
      <c r="W167" s="15" t="s">
        <v>1138</v>
      </c>
      <c r="X167" s="15" t="s">
        <v>1138</v>
      </c>
      <c r="Y167" s="15" t="s">
        <v>1135</v>
      </c>
      <c r="Z167" s="15" t="s">
        <v>1139</v>
      </c>
      <c r="AA167" s="15" t="s">
        <v>2153</v>
      </c>
      <c r="AB167" s="13">
        <v>46073</v>
      </c>
      <c r="AC167" s="14"/>
    </row>
    <row r="168" spans="1:29" x14ac:dyDescent="0.35">
      <c r="A168" s="15">
        <v>167</v>
      </c>
      <c r="B168" s="15" t="s">
        <v>1698</v>
      </c>
      <c r="C168" s="16" t="s">
        <v>1699</v>
      </c>
      <c r="D168" s="15" t="s">
        <v>743</v>
      </c>
      <c r="E168" s="13">
        <v>45987</v>
      </c>
      <c r="F168" s="15" t="s">
        <v>1700</v>
      </c>
      <c r="G168" s="13">
        <v>45987</v>
      </c>
      <c r="H168" s="15" t="s">
        <v>56</v>
      </c>
      <c r="I168" s="18" t="s">
        <v>1134</v>
      </c>
      <c r="J168" s="15"/>
      <c r="K168" s="15" t="s">
        <v>1135</v>
      </c>
      <c r="L168" s="15" t="s">
        <v>1135</v>
      </c>
      <c r="M168" s="18" t="s">
        <v>1701</v>
      </c>
      <c r="N168" s="18" t="s">
        <v>1702</v>
      </c>
      <c r="O168" s="15" t="s">
        <v>1703</v>
      </c>
      <c r="P168" s="15"/>
      <c r="Q168" s="15"/>
      <c r="R168" s="15">
        <v>36317681</v>
      </c>
      <c r="S168" s="15">
        <v>1</v>
      </c>
      <c r="T168" s="17">
        <v>6920</v>
      </c>
      <c r="U168" s="17">
        <f t="shared" si="2"/>
        <v>6920</v>
      </c>
      <c r="V168" s="15" t="s">
        <v>1138</v>
      </c>
      <c r="W168" s="15" t="s">
        <v>1138</v>
      </c>
      <c r="X168" s="15" t="s">
        <v>1138</v>
      </c>
      <c r="Y168" s="15" t="s">
        <v>1135</v>
      </c>
      <c r="Z168" s="15" t="s">
        <v>1139</v>
      </c>
      <c r="AA168" s="15" t="s">
        <v>2153</v>
      </c>
      <c r="AB168" s="13">
        <v>46073</v>
      </c>
      <c r="AC168" s="14"/>
    </row>
    <row r="169" spans="1:29" x14ac:dyDescent="0.35">
      <c r="A169" s="15">
        <v>168</v>
      </c>
      <c r="B169" s="15" t="s">
        <v>1704</v>
      </c>
      <c r="C169" s="16" t="s">
        <v>1705</v>
      </c>
      <c r="D169" s="15" t="s">
        <v>749</v>
      </c>
      <c r="E169" s="13">
        <v>45988</v>
      </c>
      <c r="F169" s="15" t="s">
        <v>1706</v>
      </c>
      <c r="G169" s="13">
        <v>45988</v>
      </c>
      <c r="H169" s="15" t="s">
        <v>56</v>
      </c>
      <c r="I169" s="18" t="s">
        <v>1134</v>
      </c>
      <c r="J169" s="15"/>
      <c r="K169" s="15" t="s">
        <v>1135</v>
      </c>
      <c r="L169" s="15" t="s">
        <v>1135</v>
      </c>
      <c r="M169" s="18" t="s">
        <v>1707</v>
      </c>
      <c r="N169" s="18" t="s">
        <v>1708</v>
      </c>
      <c r="O169" s="15" t="s">
        <v>1709</v>
      </c>
      <c r="P169" s="15"/>
      <c r="Q169" s="15"/>
      <c r="R169" s="15">
        <v>32971421</v>
      </c>
      <c r="S169" s="15">
        <v>1</v>
      </c>
      <c r="T169" s="17">
        <v>41071</v>
      </c>
      <c r="U169" s="17">
        <f t="shared" si="2"/>
        <v>41071</v>
      </c>
      <c r="V169" s="15" t="s">
        <v>1138</v>
      </c>
      <c r="W169" s="15" t="s">
        <v>1138</v>
      </c>
      <c r="X169" s="15" t="s">
        <v>1138</v>
      </c>
      <c r="Y169" s="15" t="s">
        <v>1135</v>
      </c>
      <c r="Z169" s="15" t="s">
        <v>1139</v>
      </c>
      <c r="AA169" s="15" t="s">
        <v>2153</v>
      </c>
      <c r="AB169" s="13">
        <v>46073</v>
      </c>
      <c r="AC169" s="14"/>
    </row>
    <row r="170" spans="1:29" x14ac:dyDescent="0.35">
      <c r="A170" s="15">
        <v>169</v>
      </c>
      <c r="B170" s="15" t="s">
        <v>1710</v>
      </c>
      <c r="C170" s="16" t="s">
        <v>1711</v>
      </c>
      <c r="D170" s="15" t="s">
        <v>752</v>
      </c>
      <c r="E170" s="13">
        <v>45988</v>
      </c>
      <c r="F170" s="15" t="s">
        <v>1712</v>
      </c>
      <c r="G170" s="13">
        <v>45988</v>
      </c>
      <c r="H170" s="15" t="s">
        <v>56</v>
      </c>
      <c r="I170" s="18" t="s">
        <v>1134</v>
      </c>
      <c r="J170" s="15"/>
      <c r="K170" s="15" t="s">
        <v>1135</v>
      </c>
      <c r="L170" s="15" t="s">
        <v>1135</v>
      </c>
      <c r="M170" s="18" t="s">
        <v>1713</v>
      </c>
      <c r="N170" s="18" t="s">
        <v>1714</v>
      </c>
      <c r="O170" s="15" t="s">
        <v>1357</v>
      </c>
      <c r="P170" s="15"/>
      <c r="Q170" s="15"/>
      <c r="R170" s="15">
        <v>35629559</v>
      </c>
      <c r="S170" s="15">
        <v>1</v>
      </c>
      <c r="T170" s="17">
        <v>38933.129999999997</v>
      </c>
      <c r="U170" s="17">
        <f t="shared" si="2"/>
        <v>38933.129999999997</v>
      </c>
      <c r="V170" s="15" t="s">
        <v>1138</v>
      </c>
      <c r="W170" s="15" t="s">
        <v>1138</v>
      </c>
      <c r="X170" s="15" t="s">
        <v>1138</v>
      </c>
      <c r="Y170" s="15" t="s">
        <v>1135</v>
      </c>
      <c r="Z170" s="15" t="s">
        <v>1139</v>
      </c>
      <c r="AA170" s="15" t="s">
        <v>2153</v>
      </c>
      <c r="AB170" s="13">
        <v>46073</v>
      </c>
      <c r="AC170" s="14"/>
    </row>
    <row r="171" spans="1:29" x14ac:dyDescent="0.35">
      <c r="A171" s="15">
        <v>170</v>
      </c>
      <c r="B171" s="15" t="s">
        <v>1715</v>
      </c>
      <c r="C171" s="16" t="s">
        <v>1716</v>
      </c>
      <c r="D171" s="15" t="s">
        <v>757</v>
      </c>
      <c r="E171" s="13">
        <v>45988</v>
      </c>
      <c r="F171" s="15" t="s">
        <v>1717</v>
      </c>
      <c r="G171" s="13">
        <v>45988</v>
      </c>
      <c r="H171" s="15" t="s">
        <v>56</v>
      </c>
      <c r="I171" s="15" t="s">
        <v>1134</v>
      </c>
      <c r="J171" s="19"/>
      <c r="K171" s="15" t="s">
        <v>1135</v>
      </c>
      <c r="L171" s="15" t="s">
        <v>1135</v>
      </c>
      <c r="M171" s="18" t="s">
        <v>1718</v>
      </c>
      <c r="N171" s="18" t="s">
        <v>1719</v>
      </c>
      <c r="O171" s="15" t="s">
        <v>756</v>
      </c>
      <c r="P171" s="19"/>
      <c r="Q171" s="19"/>
      <c r="R171" s="15">
        <v>35711805</v>
      </c>
      <c r="S171" s="15">
        <v>1</v>
      </c>
      <c r="T171" s="17">
        <v>6920</v>
      </c>
      <c r="U171" s="17">
        <f t="shared" si="2"/>
        <v>6920</v>
      </c>
      <c r="V171" s="15" t="s">
        <v>1138</v>
      </c>
      <c r="W171" s="15" t="s">
        <v>1138</v>
      </c>
      <c r="X171" s="15" t="s">
        <v>1138</v>
      </c>
      <c r="Y171" s="15" t="s">
        <v>1135</v>
      </c>
      <c r="Z171" s="15" t="s">
        <v>1139</v>
      </c>
      <c r="AA171" s="15" t="s">
        <v>2153</v>
      </c>
      <c r="AB171" s="13">
        <v>46073</v>
      </c>
      <c r="AC171" s="14"/>
    </row>
    <row r="172" spans="1:29" x14ac:dyDescent="0.35">
      <c r="A172" s="15">
        <v>171</v>
      </c>
      <c r="B172" s="15" t="s">
        <v>1720</v>
      </c>
      <c r="C172" s="16" t="s">
        <v>1721</v>
      </c>
      <c r="D172" s="15" t="s">
        <v>759</v>
      </c>
      <c r="E172" s="13">
        <v>45988</v>
      </c>
      <c r="F172" s="15" t="s">
        <v>1722</v>
      </c>
      <c r="G172" s="13">
        <v>45988</v>
      </c>
      <c r="H172" s="15" t="s">
        <v>56</v>
      </c>
      <c r="I172" s="18" t="s">
        <v>1134</v>
      </c>
      <c r="J172" s="19"/>
      <c r="K172" s="15" t="s">
        <v>1135</v>
      </c>
      <c r="L172" s="15" t="s">
        <v>1135</v>
      </c>
      <c r="M172" s="18" t="s">
        <v>1723</v>
      </c>
      <c r="N172" s="18" t="s">
        <v>1724</v>
      </c>
      <c r="O172" s="15" t="s">
        <v>1609</v>
      </c>
      <c r="P172" s="19"/>
      <c r="Q172" s="19"/>
      <c r="R172" s="15">
        <v>35961651</v>
      </c>
      <c r="S172" s="15">
        <v>1</v>
      </c>
      <c r="T172" s="17">
        <v>38933.129999999997</v>
      </c>
      <c r="U172" s="17">
        <f t="shared" si="2"/>
        <v>38933.129999999997</v>
      </c>
      <c r="V172" s="15" t="s">
        <v>1138</v>
      </c>
      <c r="W172" s="15" t="s">
        <v>1138</v>
      </c>
      <c r="X172" s="15" t="s">
        <v>1138</v>
      </c>
      <c r="Y172" s="15" t="s">
        <v>1135</v>
      </c>
      <c r="Z172" s="15" t="s">
        <v>1139</v>
      </c>
      <c r="AA172" s="15" t="s">
        <v>2153</v>
      </c>
      <c r="AB172" s="13">
        <v>46073</v>
      </c>
      <c r="AC172" s="14"/>
    </row>
    <row r="173" spans="1:29" x14ac:dyDescent="0.35">
      <c r="A173" s="15">
        <v>172</v>
      </c>
      <c r="B173" s="15" t="s">
        <v>1720</v>
      </c>
      <c r="C173" s="16" t="s">
        <v>1721</v>
      </c>
      <c r="D173" s="15" t="s">
        <v>759</v>
      </c>
      <c r="E173" s="13">
        <v>45988</v>
      </c>
      <c r="F173" s="15" t="s">
        <v>1722</v>
      </c>
      <c r="G173" s="13">
        <v>45988</v>
      </c>
      <c r="H173" s="15" t="s">
        <v>56</v>
      </c>
      <c r="I173" s="18" t="s">
        <v>1134</v>
      </c>
      <c r="J173" s="19"/>
      <c r="K173" s="15" t="s">
        <v>1135</v>
      </c>
      <c r="L173" s="15" t="s">
        <v>1135</v>
      </c>
      <c r="M173" s="18" t="s">
        <v>1725</v>
      </c>
      <c r="N173" s="18" t="s">
        <v>1724</v>
      </c>
      <c r="O173" s="15" t="s">
        <v>1399</v>
      </c>
      <c r="P173" s="19"/>
      <c r="Q173" s="19"/>
      <c r="R173" s="15">
        <v>36407779</v>
      </c>
      <c r="S173" s="15">
        <v>1</v>
      </c>
      <c r="T173" s="17">
        <v>38933.129999999997</v>
      </c>
      <c r="U173" s="17">
        <f t="shared" si="2"/>
        <v>38933.129999999997</v>
      </c>
      <c r="V173" s="15" t="s">
        <v>1138</v>
      </c>
      <c r="W173" s="15" t="s">
        <v>1138</v>
      </c>
      <c r="X173" s="15" t="s">
        <v>1138</v>
      </c>
      <c r="Y173" s="15" t="s">
        <v>1135</v>
      </c>
      <c r="Z173" s="15" t="s">
        <v>1139</v>
      </c>
      <c r="AA173" s="15" t="s">
        <v>2153</v>
      </c>
      <c r="AB173" s="13">
        <v>46073</v>
      </c>
      <c r="AC173" s="14"/>
    </row>
    <row r="174" spans="1:29" x14ac:dyDescent="0.35">
      <c r="A174" s="15">
        <v>173</v>
      </c>
      <c r="B174" s="15" t="s">
        <v>1720</v>
      </c>
      <c r="C174" s="16" t="s">
        <v>1721</v>
      </c>
      <c r="D174" s="15" t="s">
        <v>759</v>
      </c>
      <c r="E174" s="13">
        <v>45988</v>
      </c>
      <c r="F174" s="15" t="s">
        <v>1722</v>
      </c>
      <c r="G174" s="13">
        <v>45988</v>
      </c>
      <c r="H174" s="15" t="s">
        <v>56</v>
      </c>
      <c r="I174" s="18" t="s">
        <v>1134</v>
      </c>
      <c r="J174" s="19"/>
      <c r="K174" s="15" t="s">
        <v>1135</v>
      </c>
      <c r="L174" s="15" t="s">
        <v>1135</v>
      </c>
      <c r="M174" s="18" t="s">
        <v>1726</v>
      </c>
      <c r="N174" s="18" t="s">
        <v>1724</v>
      </c>
      <c r="O174" s="15" t="s">
        <v>519</v>
      </c>
      <c r="P174" s="19"/>
      <c r="Q174" s="19"/>
      <c r="R174" s="15">
        <v>36371996</v>
      </c>
      <c r="S174" s="15">
        <v>1</v>
      </c>
      <c r="T174" s="17">
        <v>3571</v>
      </c>
      <c r="U174" s="17">
        <f t="shared" si="2"/>
        <v>3571</v>
      </c>
      <c r="V174" s="15" t="s">
        <v>1138</v>
      </c>
      <c r="W174" s="15" t="s">
        <v>1138</v>
      </c>
      <c r="X174" s="15" t="s">
        <v>1138</v>
      </c>
      <c r="Y174" s="15" t="s">
        <v>1135</v>
      </c>
      <c r="Z174" s="15" t="s">
        <v>1139</v>
      </c>
      <c r="AA174" s="15" t="s">
        <v>2153</v>
      </c>
      <c r="AB174" s="13">
        <v>46073</v>
      </c>
      <c r="AC174" s="14"/>
    </row>
    <row r="175" spans="1:29" x14ac:dyDescent="0.35">
      <c r="A175" s="15">
        <v>174</v>
      </c>
      <c r="B175" s="15" t="s">
        <v>1727</v>
      </c>
      <c r="C175" s="16" t="s">
        <v>1728</v>
      </c>
      <c r="D175" s="15" t="s">
        <v>763</v>
      </c>
      <c r="E175" s="13">
        <v>45989</v>
      </c>
      <c r="F175" s="15" t="s">
        <v>1729</v>
      </c>
      <c r="G175" s="13">
        <v>45989</v>
      </c>
      <c r="H175" s="15" t="s">
        <v>56</v>
      </c>
      <c r="I175" s="15" t="s">
        <v>1134</v>
      </c>
      <c r="J175" s="19"/>
      <c r="K175" s="15" t="s">
        <v>1135</v>
      </c>
      <c r="L175" s="15" t="s">
        <v>1135</v>
      </c>
      <c r="M175" s="18" t="s">
        <v>1730</v>
      </c>
      <c r="N175" s="15" t="s">
        <v>1135</v>
      </c>
      <c r="O175" s="15" t="s">
        <v>519</v>
      </c>
      <c r="P175" s="19"/>
      <c r="Q175" s="19"/>
      <c r="R175" s="15">
        <v>36371996</v>
      </c>
      <c r="S175" s="15">
        <v>1</v>
      </c>
      <c r="T175" s="17">
        <v>3571</v>
      </c>
      <c r="U175" s="17">
        <f t="shared" si="2"/>
        <v>3571</v>
      </c>
      <c r="V175" s="15" t="s">
        <v>1138</v>
      </c>
      <c r="W175" s="15" t="s">
        <v>1138</v>
      </c>
      <c r="X175" s="15" t="s">
        <v>1138</v>
      </c>
      <c r="Y175" s="15" t="s">
        <v>1135</v>
      </c>
      <c r="Z175" s="15" t="s">
        <v>1139</v>
      </c>
      <c r="AA175" s="15" t="s">
        <v>2153</v>
      </c>
      <c r="AB175" s="13">
        <v>46073</v>
      </c>
      <c r="AC175" s="14"/>
    </row>
    <row r="176" spans="1:29" x14ac:dyDescent="0.35">
      <c r="A176" s="15">
        <v>175</v>
      </c>
      <c r="B176" s="15" t="s">
        <v>1731</v>
      </c>
      <c r="C176" s="16" t="s">
        <v>1732</v>
      </c>
      <c r="D176" s="15" t="s">
        <v>765</v>
      </c>
      <c r="E176" s="13">
        <v>45989</v>
      </c>
      <c r="F176" s="15" t="s">
        <v>1733</v>
      </c>
      <c r="G176" s="13">
        <v>45989</v>
      </c>
      <c r="H176" s="15" t="s">
        <v>56</v>
      </c>
      <c r="I176" s="15" t="s">
        <v>1134</v>
      </c>
      <c r="J176" s="19"/>
      <c r="K176" s="15" t="s">
        <v>1135</v>
      </c>
      <c r="L176" s="15" t="s">
        <v>1135</v>
      </c>
      <c r="M176" s="18" t="s">
        <v>1734</v>
      </c>
      <c r="N176" s="18" t="s">
        <v>1735</v>
      </c>
      <c r="O176" s="15" t="s">
        <v>1213</v>
      </c>
      <c r="P176" s="19"/>
      <c r="Q176" s="19"/>
      <c r="R176" s="15">
        <v>36317693</v>
      </c>
      <c r="S176" s="15">
        <v>1</v>
      </c>
      <c r="T176" s="17">
        <v>6920</v>
      </c>
      <c r="U176" s="17">
        <f t="shared" si="2"/>
        <v>6920</v>
      </c>
      <c r="V176" s="15" t="s">
        <v>1138</v>
      </c>
      <c r="W176" s="15" t="s">
        <v>1138</v>
      </c>
      <c r="X176" s="15" t="s">
        <v>1138</v>
      </c>
      <c r="Y176" s="15" t="s">
        <v>1135</v>
      </c>
      <c r="Z176" s="15" t="s">
        <v>1139</v>
      </c>
      <c r="AA176" s="15" t="s">
        <v>2153</v>
      </c>
      <c r="AB176" s="13">
        <v>46073</v>
      </c>
      <c r="AC176" s="14"/>
    </row>
    <row r="177" spans="1:29" x14ac:dyDescent="0.35">
      <c r="A177" s="15">
        <v>176</v>
      </c>
      <c r="B177" s="15" t="s">
        <v>1731</v>
      </c>
      <c r="C177" s="16" t="s">
        <v>1732</v>
      </c>
      <c r="D177" s="15" t="s">
        <v>765</v>
      </c>
      <c r="E177" s="13">
        <v>45989</v>
      </c>
      <c r="F177" s="15" t="s">
        <v>1733</v>
      </c>
      <c r="G177" s="13">
        <v>45989</v>
      </c>
      <c r="H177" s="15" t="s">
        <v>56</v>
      </c>
      <c r="I177" s="15" t="s">
        <v>1134</v>
      </c>
      <c r="J177" s="19"/>
      <c r="K177" s="15" t="s">
        <v>1135</v>
      </c>
      <c r="L177" s="15" t="s">
        <v>1135</v>
      </c>
      <c r="M177" s="18" t="s">
        <v>1736</v>
      </c>
      <c r="N177" s="18" t="s">
        <v>1735</v>
      </c>
      <c r="O177" s="15" t="s">
        <v>169</v>
      </c>
      <c r="P177" s="19"/>
      <c r="Q177" s="19"/>
      <c r="R177" s="15">
        <v>37000428</v>
      </c>
      <c r="S177" s="15">
        <v>1</v>
      </c>
      <c r="T177" s="17">
        <v>3571</v>
      </c>
      <c r="U177" s="17">
        <f t="shared" si="2"/>
        <v>3571</v>
      </c>
      <c r="V177" s="15" t="s">
        <v>1138</v>
      </c>
      <c r="W177" s="15" t="s">
        <v>1138</v>
      </c>
      <c r="X177" s="15" t="s">
        <v>1138</v>
      </c>
      <c r="Y177" s="15" t="s">
        <v>1135</v>
      </c>
      <c r="Z177" s="15" t="s">
        <v>1139</v>
      </c>
      <c r="AA177" s="15" t="s">
        <v>2153</v>
      </c>
      <c r="AB177" s="13">
        <v>46073</v>
      </c>
      <c r="AC177" s="14"/>
    </row>
    <row r="178" spans="1:29" x14ac:dyDescent="0.35">
      <c r="A178" s="15">
        <v>177</v>
      </c>
      <c r="B178" s="15" t="s">
        <v>1737</v>
      </c>
      <c r="C178" s="16" t="s">
        <v>1738</v>
      </c>
      <c r="D178" s="15" t="s">
        <v>769</v>
      </c>
      <c r="E178" s="13">
        <v>45990</v>
      </c>
      <c r="F178" s="15" t="s">
        <v>1135</v>
      </c>
      <c r="G178" s="15" t="s">
        <v>1135</v>
      </c>
      <c r="H178" s="15" t="s">
        <v>56</v>
      </c>
      <c r="I178" s="18" t="s">
        <v>1134</v>
      </c>
      <c r="J178" s="19"/>
      <c r="K178" s="15" t="s">
        <v>1135</v>
      </c>
      <c r="L178" s="15" t="s">
        <v>1135</v>
      </c>
      <c r="M178" s="18" t="s">
        <v>1739</v>
      </c>
      <c r="N178" s="18" t="s">
        <v>1740</v>
      </c>
      <c r="O178" s="15" t="s">
        <v>1448</v>
      </c>
      <c r="P178" s="19"/>
      <c r="Q178" s="19"/>
      <c r="R178" s="15">
        <v>35712203</v>
      </c>
      <c r="S178" s="15">
        <v>1</v>
      </c>
      <c r="T178" s="17">
        <v>6920</v>
      </c>
      <c r="U178" s="17">
        <f t="shared" si="2"/>
        <v>6920</v>
      </c>
      <c r="V178" s="15" t="s">
        <v>1138</v>
      </c>
      <c r="W178" s="15" t="s">
        <v>1138</v>
      </c>
      <c r="X178" s="15" t="s">
        <v>1138</v>
      </c>
      <c r="Y178" s="15" t="s">
        <v>1135</v>
      </c>
      <c r="Z178" s="15" t="s">
        <v>1139</v>
      </c>
      <c r="AA178" s="15" t="s">
        <v>2153</v>
      </c>
      <c r="AB178" s="13">
        <v>46073</v>
      </c>
      <c r="AC178" s="14"/>
    </row>
    <row r="179" spans="1:29" x14ac:dyDescent="0.35">
      <c r="A179" s="15">
        <v>178</v>
      </c>
      <c r="B179" s="15" t="s">
        <v>1741</v>
      </c>
      <c r="C179" s="16" t="s">
        <v>1742</v>
      </c>
      <c r="D179" s="15" t="s">
        <v>771</v>
      </c>
      <c r="E179" s="13">
        <v>45990</v>
      </c>
      <c r="F179" s="15" t="s">
        <v>1743</v>
      </c>
      <c r="G179" s="13">
        <v>45990</v>
      </c>
      <c r="H179" s="15" t="s">
        <v>56</v>
      </c>
      <c r="I179" s="18" t="s">
        <v>1134</v>
      </c>
      <c r="J179" s="19"/>
      <c r="K179" s="15" t="s">
        <v>1135</v>
      </c>
      <c r="L179" s="15" t="s">
        <v>1135</v>
      </c>
      <c r="M179" s="18" t="s">
        <v>1744</v>
      </c>
      <c r="N179" s="18" t="s">
        <v>1745</v>
      </c>
      <c r="O179" s="15" t="s">
        <v>123</v>
      </c>
      <c r="P179" s="19"/>
      <c r="Q179" s="19"/>
      <c r="R179" s="15">
        <v>36580732</v>
      </c>
      <c r="S179" s="15">
        <v>1</v>
      </c>
      <c r="T179" s="17">
        <v>6920</v>
      </c>
      <c r="U179" s="17">
        <f t="shared" si="2"/>
        <v>6920</v>
      </c>
      <c r="V179" s="15" t="s">
        <v>1138</v>
      </c>
      <c r="W179" s="15" t="s">
        <v>1138</v>
      </c>
      <c r="X179" s="15" t="s">
        <v>1138</v>
      </c>
      <c r="Y179" s="15" t="s">
        <v>1135</v>
      </c>
      <c r="Z179" s="15" t="s">
        <v>1139</v>
      </c>
      <c r="AA179" s="15" t="s">
        <v>2153</v>
      </c>
      <c r="AB179" s="13">
        <v>46073</v>
      </c>
      <c r="AC179" s="14"/>
    </row>
    <row r="180" spans="1:29" x14ac:dyDescent="0.35">
      <c r="A180" s="15">
        <v>179</v>
      </c>
      <c r="B180" s="15" t="s">
        <v>1746</v>
      </c>
      <c r="C180" s="16" t="s">
        <v>1747</v>
      </c>
      <c r="D180" s="15" t="s">
        <v>778</v>
      </c>
      <c r="E180" s="13">
        <v>45931</v>
      </c>
      <c r="F180" s="15" t="s">
        <v>1748</v>
      </c>
      <c r="G180" s="13">
        <v>45931</v>
      </c>
      <c r="H180" s="15" t="s">
        <v>56</v>
      </c>
      <c r="I180" s="18" t="s">
        <v>1134</v>
      </c>
      <c r="J180" s="19"/>
      <c r="K180" s="15" t="s">
        <v>1135</v>
      </c>
      <c r="L180" s="15" t="s">
        <v>1135</v>
      </c>
      <c r="M180" s="18" t="s">
        <v>1749</v>
      </c>
      <c r="N180" s="18" t="s">
        <v>1750</v>
      </c>
      <c r="O180" s="15" t="s">
        <v>493</v>
      </c>
      <c r="P180" s="19"/>
      <c r="Q180" s="19"/>
      <c r="R180" s="15">
        <v>36309249</v>
      </c>
      <c r="S180" s="15">
        <v>1</v>
      </c>
      <c r="T180" s="17">
        <v>3572</v>
      </c>
      <c r="U180" s="17">
        <f t="shared" si="2"/>
        <v>3572</v>
      </c>
      <c r="V180" s="15" t="s">
        <v>1138</v>
      </c>
      <c r="W180" s="15" t="s">
        <v>1138</v>
      </c>
      <c r="X180" s="15" t="s">
        <v>1138</v>
      </c>
      <c r="Y180" s="15" t="s">
        <v>1135</v>
      </c>
      <c r="Z180" s="15" t="s">
        <v>1139</v>
      </c>
      <c r="AA180" s="15" t="s">
        <v>2153</v>
      </c>
      <c r="AB180" s="13">
        <v>46073</v>
      </c>
      <c r="AC180" s="14"/>
    </row>
    <row r="181" spans="1:29" x14ac:dyDescent="0.35">
      <c r="A181" s="15">
        <v>180</v>
      </c>
      <c r="B181" s="15" t="s">
        <v>1751</v>
      </c>
      <c r="C181" s="16" t="s">
        <v>1752</v>
      </c>
      <c r="D181" s="15" t="s">
        <v>782</v>
      </c>
      <c r="E181" s="13">
        <v>45931</v>
      </c>
      <c r="F181" s="15" t="s">
        <v>1753</v>
      </c>
      <c r="G181" s="15" t="s">
        <v>1135</v>
      </c>
      <c r="H181" s="15" t="s">
        <v>56</v>
      </c>
      <c r="I181" s="15" t="s">
        <v>1134</v>
      </c>
      <c r="J181" s="19"/>
      <c r="K181" s="15" t="s">
        <v>1135</v>
      </c>
      <c r="L181" s="15" t="s">
        <v>1135</v>
      </c>
      <c r="M181" s="15" t="s">
        <v>1754</v>
      </c>
      <c r="N181" s="18" t="s">
        <v>1755</v>
      </c>
      <c r="O181" s="15" t="s">
        <v>1617</v>
      </c>
      <c r="P181" s="19"/>
      <c r="Q181" s="19"/>
      <c r="R181" s="15">
        <v>35763427</v>
      </c>
      <c r="S181" s="15">
        <v>1</v>
      </c>
      <c r="T181" s="17">
        <v>6921</v>
      </c>
      <c r="U181" s="17">
        <f t="shared" si="2"/>
        <v>6921</v>
      </c>
      <c r="V181" s="15" t="s">
        <v>1138</v>
      </c>
      <c r="W181" s="15" t="s">
        <v>1138</v>
      </c>
      <c r="X181" s="15" t="s">
        <v>1138</v>
      </c>
      <c r="Y181" s="15" t="s">
        <v>1135</v>
      </c>
      <c r="Z181" s="15" t="s">
        <v>1139</v>
      </c>
      <c r="AA181" s="15" t="s">
        <v>2153</v>
      </c>
      <c r="AB181" s="13">
        <v>46073</v>
      </c>
      <c r="AC181" s="14"/>
    </row>
    <row r="182" spans="1:29" x14ac:dyDescent="0.35">
      <c r="A182" s="15">
        <v>181</v>
      </c>
      <c r="B182" s="15" t="s">
        <v>1751</v>
      </c>
      <c r="C182" s="16" t="s">
        <v>1752</v>
      </c>
      <c r="D182" s="15" t="s">
        <v>782</v>
      </c>
      <c r="E182" s="13">
        <v>45931</v>
      </c>
      <c r="F182" s="15" t="s">
        <v>1753</v>
      </c>
      <c r="G182" s="15" t="s">
        <v>1135</v>
      </c>
      <c r="H182" s="15" t="s">
        <v>56</v>
      </c>
      <c r="I182" s="15" t="s">
        <v>1134</v>
      </c>
      <c r="J182" s="19"/>
      <c r="K182" s="15" t="s">
        <v>1135</v>
      </c>
      <c r="L182" s="15" t="s">
        <v>1135</v>
      </c>
      <c r="M182" s="18" t="s">
        <v>1756</v>
      </c>
      <c r="N182" s="18" t="s">
        <v>1755</v>
      </c>
      <c r="O182" s="15" t="s">
        <v>1472</v>
      </c>
      <c r="P182" s="19"/>
      <c r="Q182" s="19"/>
      <c r="R182" s="15">
        <v>36261954</v>
      </c>
      <c r="S182" s="15">
        <v>1</v>
      </c>
      <c r="T182" s="17">
        <v>6920</v>
      </c>
      <c r="U182" s="17">
        <f t="shared" si="2"/>
        <v>6920</v>
      </c>
      <c r="V182" s="15" t="s">
        <v>1138</v>
      </c>
      <c r="W182" s="15" t="s">
        <v>1138</v>
      </c>
      <c r="X182" s="15" t="s">
        <v>1138</v>
      </c>
      <c r="Y182" s="15" t="s">
        <v>1135</v>
      </c>
      <c r="Z182" s="15" t="s">
        <v>1139</v>
      </c>
      <c r="AA182" s="15" t="s">
        <v>2153</v>
      </c>
      <c r="AB182" s="13">
        <v>46073</v>
      </c>
      <c r="AC182" s="14"/>
    </row>
    <row r="183" spans="1:29" x14ac:dyDescent="0.35">
      <c r="A183" s="15">
        <v>182</v>
      </c>
      <c r="B183" s="15" t="s">
        <v>1757</v>
      </c>
      <c r="C183" s="16" t="s">
        <v>1758</v>
      </c>
      <c r="D183" s="15" t="s">
        <v>785</v>
      </c>
      <c r="E183" s="13">
        <v>45931</v>
      </c>
      <c r="F183" s="15" t="s">
        <v>1759</v>
      </c>
      <c r="G183" s="13">
        <v>45931</v>
      </c>
      <c r="H183" s="15" t="s">
        <v>56</v>
      </c>
      <c r="I183" s="15" t="s">
        <v>1134</v>
      </c>
      <c r="J183" s="19"/>
      <c r="K183" s="15" t="s">
        <v>1135</v>
      </c>
      <c r="L183" s="15" t="s">
        <v>1135</v>
      </c>
      <c r="M183" s="15" t="s">
        <v>1760</v>
      </c>
      <c r="N183" s="15" t="s">
        <v>1135</v>
      </c>
      <c r="O183" s="15" t="s">
        <v>1761</v>
      </c>
      <c r="P183" s="19"/>
      <c r="Q183" s="19"/>
      <c r="R183" s="15">
        <v>33864701</v>
      </c>
      <c r="S183" s="15">
        <v>1</v>
      </c>
      <c r="T183" s="17">
        <v>38933.129999999997</v>
      </c>
      <c r="U183" s="17">
        <f t="shared" si="2"/>
        <v>38933.129999999997</v>
      </c>
      <c r="V183" s="15" t="s">
        <v>1138</v>
      </c>
      <c r="W183" s="15" t="s">
        <v>1138</v>
      </c>
      <c r="X183" s="15" t="s">
        <v>1138</v>
      </c>
      <c r="Y183" s="15" t="s">
        <v>1135</v>
      </c>
      <c r="Z183" s="15" t="s">
        <v>1139</v>
      </c>
      <c r="AA183" s="15" t="s">
        <v>2153</v>
      </c>
      <c r="AB183" s="13">
        <v>46073</v>
      </c>
      <c r="AC183" s="14"/>
    </row>
    <row r="184" spans="1:29" x14ac:dyDescent="0.35">
      <c r="A184" s="15">
        <v>183</v>
      </c>
      <c r="B184" s="15" t="s">
        <v>1757</v>
      </c>
      <c r="C184" s="16" t="s">
        <v>1758</v>
      </c>
      <c r="D184" s="15" t="s">
        <v>785</v>
      </c>
      <c r="E184" s="13">
        <v>45931</v>
      </c>
      <c r="F184" s="15" t="s">
        <v>1759</v>
      </c>
      <c r="G184" s="13">
        <v>45931</v>
      </c>
      <c r="H184" s="15" t="s">
        <v>56</v>
      </c>
      <c r="I184" s="15" t="s">
        <v>1134</v>
      </c>
      <c r="J184" s="19"/>
      <c r="K184" s="15" t="s">
        <v>1135</v>
      </c>
      <c r="L184" s="15" t="s">
        <v>1135</v>
      </c>
      <c r="M184" s="18" t="s">
        <v>1762</v>
      </c>
      <c r="N184" s="15" t="s">
        <v>1135</v>
      </c>
      <c r="O184" s="15" t="s">
        <v>1156</v>
      </c>
      <c r="P184" s="19"/>
      <c r="Q184" s="19"/>
      <c r="R184" s="15">
        <v>36737531</v>
      </c>
      <c r="S184" s="15">
        <v>1</v>
      </c>
      <c r="T184" s="17">
        <v>6920</v>
      </c>
      <c r="U184" s="17">
        <f t="shared" si="2"/>
        <v>6920</v>
      </c>
      <c r="V184" s="15" t="s">
        <v>1138</v>
      </c>
      <c r="W184" s="15" t="s">
        <v>1138</v>
      </c>
      <c r="X184" s="15" t="s">
        <v>1138</v>
      </c>
      <c r="Y184" s="15" t="s">
        <v>1135</v>
      </c>
      <c r="Z184" s="15" t="s">
        <v>1139</v>
      </c>
      <c r="AA184" s="15" t="s">
        <v>2153</v>
      </c>
      <c r="AB184" s="13">
        <v>46073</v>
      </c>
      <c r="AC184" s="14"/>
    </row>
    <row r="185" spans="1:29" x14ac:dyDescent="0.35">
      <c r="A185" s="15">
        <v>184</v>
      </c>
      <c r="B185" s="15" t="s">
        <v>1763</v>
      </c>
      <c r="C185" s="16" t="s">
        <v>1764</v>
      </c>
      <c r="D185" s="15" t="s">
        <v>792</v>
      </c>
      <c r="E185" s="13">
        <v>45933</v>
      </c>
      <c r="F185" s="15" t="s">
        <v>1765</v>
      </c>
      <c r="G185" s="13">
        <v>45933</v>
      </c>
      <c r="H185" s="15" t="s">
        <v>56</v>
      </c>
      <c r="I185" s="15" t="s">
        <v>1134</v>
      </c>
      <c r="J185" s="19"/>
      <c r="K185" s="15" t="s">
        <v>1135</v>
      </c>
      <c r="L185" s="15" t="s">
        <v>1135</v>
      </c>
      <c r="M185" s="15" t="s">
        <v>1766</v>
      </c>
      <c r="N185" s="18" t="s">
        <v>1767</v>
      </c>
      <c r="O185" s="15" t="s">
        <v>1198</v>
      </c>
      <c r="P185" s="19"/>
      <c r="Q185" s="19"/>
      <c r="R185" s="15">
        <v>33702966</v>
      </c>
      <c r="S185" s="15">
        <v>1</v>
      </c>
      <c r="T185" s="17">
        <v>38933.129999999997</v>
      </c>
      <c r="U185" s="17">
        <f t="shared" si="2"/>
        <v>38933.129999999997</v>
      </c>
      <c r="V185" s="15" t="s">
        <v>1138</v>
      </c>
      <c r="W185" s="15" t="s">
        <v>1138</v>
      </c>
      <c r="X185" s="15" t="s">
        <v>1138</v>
      </c>
      <c r="Y185" s="15" t="s">
        <v>1135</v>
      </c>
      <c r="Z185" s="15" t="s">
        <v>1139</v>
      </c>
      <c r="AA185" s="15" t="s">
        <v>2153</v>
      </c>
      <c r="AB185" s="13">
        <v>46073</v>
      </c>
      <c r="AC185" s="14"/>
    </row>
    <row r="186" spans="1:29" x14ac:dyDescent="0.35">
      <c r="A186" s="15">
        <v>185</v>
      </c>
      <c r="B186" s="15" t="s">
        <v>1763</v>
      </c>
      <c r="C186" s="16" t="s">
        <v>1764</v>
      </c>
      <c r="D186" s="15" t="s">
        <v>792</v>
      </c>
      <c r="E186" s="13">
        <v>45933</v>
      </c>
      <c r="F186" s="15" t="s">
        <v>1765</v>
      </c>
      <c r="G186" s="13">
        <v>45933</v>
      </c>
      <c r="H186" s="15" t="s">
        <v>56</v>
      </c>
      <c r="I186" s="15" t="s">
        <v>1134</v>
      </c>
      <c r="J186" s="19"/>
      <c r="K186" s="15" t="s">
        <v>1135</v>
      </c>
      <c r="L186" s="15" t="s">
        <v>1135</v>
      </c>
      <c r="M186" s="15" t="s">
        <v>1768</v>
      </c>
      <c r="N186" s="18" t="s">
        <v>1767</v>
      </c>
      <c r="O186" s="15" t="s">
        <v>1399</v>
      </c>
      <c r="P186" s="19"/>
      <c r="Q186" s="19"/>
      <c r="R186" s="15">
        <v>35465126</v>
      </c>
      <c r="S186" s="15">
        <v>1</v>
      </c>
      <c r="T186" s="17">
        <v>38933.129999999997</v>
      </c>
      <c r="U186" s="17">
        <f t="shared" si="2"/>
        <v>38933.129999999997</v>
      </c>
      <c r="V186" s="15" t="s">
        <v>1138</v>
      </c>
      <c r="W186" s="15" t="s">
        <v>1138</v>
      </c>
      <c r="X186" s="15" t="s">
        <v>1138</v>
      </c>
      <c r="Y186" s="15" t="s">
        <v>1135</v>
      </c>
      <c r="Z186" s="15" t="s">
        <v>1139</v>
      </c>
      <c r="AA186" s="15" t="s">
        <v>2153</v>
      </c>
      <c r="AB186" s="13">
        <v>46073</v>
      </c>
      <c r="AC186" s="14"/>
    </row>
    <row r="187" spans="1:29" x14ac:dyDescent="0.35">
      <c r="A187" s="15">
        <v>186</v>
      </c>
      <c r="B187" s="15" t="s">
        <v>1763</v>
      </c>
      <c r="C187" s="16" t="s">
        <v>1764</v>
      </c>
      <c r="D187" s="15" t="s">
        <v>792</v>
      </c>
      <c r="E187" s="13">
        <v>45933</v>
      </c>
      <c r="F187" s="15" t="s">
        <v>1765</v>
      </c>
      <c r="G187" s="13">
        <v>45933</v>
      </c>
      <c r="H187" s="15" t="s">
        <v>56</v>
      </c>
      <c r="I187" s="15" t="s">
        <v>1134</v>
      </c>
      <c r="J187" s="19"/>
      <c r="K187" s="15" t="s">
        <v>1135</v>
      </c>
      <c r="L187" s="15" t="s">
        <v>1135</v>
      </c>
      <c r="M187" s="18" t="s">
        <v>1769</v>
      </c>
      <c r="N187" s="18" t="s">
        <v>1767</v>
      </c>
      <c r="O187" s="15" t="s">
        <v>493</v>
      </c>
      <c r="P187" s="19"/>
      <c r="Q187" s="19"/>
      <c r="R187" s="15">
        <v>36309249</v>
      </c>
      <c r="S187" s="15">
        <v>1</v>
      </c>
      <c r="T187" s="17">
        <v>3572</v>
      </c>
      <c r="U187" s="17">
        <f t="shared" si="2"/>
        <v>3572</v>
      </c>
      <c r="V187" s="15" t="s">
        <v>1138</v>
      </c>
      <c r="W187" s="15" t="s">
        <v>1138</v>
      </c>
      <c r="X187" s="15" t="s">
        <v>1138</v>
      </c>
      <c r="Y187" s="15" t="s">
        <v>1135</v>
      </c>
      <c r="Z187" s="15" t="s">
        <v>1139</v>
      </c>
      <c r="AA187" s="15" t="s">
        <v>2153</v>
      </c>
      <c r="AB187" s="13">
        <v>46073</v>
      </c>
      <c r="AC187" s="14"/>
    </row>
    <row r="188" spans="1:29" x14ac:dyDescent="0.35">
      <c r="A188" s="15">
        <v>187</v>
      </c>
      <c r="B188" s="15" t="s">
        <v>1763</v>
      </c>
      <c r="C188" s="16" t="s">
        <v>1764</v>
      </c>
      <c r="D188" s="15" t="s">
        <v>792</v>
      </c>
      <c r="E188" s="13">
        <v>45933</v>
      </c>
      <c r="F188" s="15" t="s">
        <v>1765</v>
      </c>
      <c r="G188" s="13">
        <v>45933</v>
      </c>
      <c r="H188" s="15" t="s">
        <v>56</v>
      </c>
      <c r="I188" s="15" t="s">
        <v>1134</v>
      </c>
      <c r="J188" s="19"/>
      <c r="K188" s="15" t="s">
        <v>1135</v>
      </c>
      <c r="L188" s="15" t="s">
        <v>1135</v>
      </c>
      <c r="M188" s="18" t="s">
        <v>1770</v>
      </c>
      <c r="N188" s="18" t="s">
        <v>1767</v>
      </c>
      <c r="O188" s="15" t="s">
        <v>1414</v>
      </c>
      <c r="P188" s="19"/>
      <c r="Q188" s="19"/>
      <c r="R188" s="15">
        <v>36317710</v>
      </c>
      <c r="S188" s="15">
        <v>1</v>
      </c>
      <c r="T188" s="17">
        <v>6920</v>
      </c>
      <c r="U188" s="17">
        <f t="shared" si="2"/>
        <v>6920</v>
      </c>
      <c r="V188" s="15" t="s">
        <v>1138</v>
      </c>
      <c r="W188" s="15" t="s">
        <v>1138</v>
      </c>
      <c r="X188" s="15" t="s">
        <v>1138</v>
      </c>
      <c r="Y188" s="15" t="s">
        <v>1135</v>
      </c>
      <c r="Z188" s="15" t="s">
        <v>1139</v>
      </c>
      <c r="AA188" s="15" t="s">
        <v>2153</v>
      </c>
      <c r="AB188" s="13">
        <v>46073</v>
      </c>
      <c r="AC188" s="14"/>
    </row>
    <row r="189" spans="1:29" x14ac:dyDescent="0.35">
      <c r="A189" s="15">
        <v>188</v>
      </c>
      <c r="B189" s="15" t="s">
        <v>1771</v>
      </c>
      <c r="C189" s="16" t="s">
        <v>1772</v>
      </c>
      <c r="D189" s="15" t="s">
        <v>797</v>
      </c>
      <c r="E189" s="13">
        <v>45933</v>
      </c>
      <c r="F189" s="15" t="s">
        <v>1773</v>
      </c>
      <c r="G189" s="13">
        <v>45933</v>
      </c>
      <c r="H189" s="15" t="s">
        <v>56</v>
      </c>
      <c r="I189" s="15" t="s">
        <v>1134</v>
      </c>
      <c r="J189" s="19"/>
      <c r="K189" s="15" t="s">
        <v>1135</v>
      </c>
      <c r="L189" s="15" t="s">
        <v>1135</v>
      </c>
      <c r="M189" s="18" t="s">
        <v>1774</v>
      </c>
      <c r="N189" s="15" t="s">
        <v>1135</v>
      </c>
      <c r="O189" s="15" t="s">
        <v>242</v>
      </c>
      <c r="P189" s="19"/>
      <c r="Q189" s="19"/>
      <c r="R189" s="15">
        <v>32897171</v>
      </c>
      <c r="S189" s="15">
        <v>1</v>
      </c>
      <c r="T189" s="17">
        <v>6920</v>
      </c>
      <c r="U189" s="17">
        <f t="shared" si="2"/>
        <v>6920</v>
      </c>
      <c r="V189" s="15" t="s">
        <v>1138</v>
      </c>
      <c r="W189" s="15" t="s">
        <v>1138</v>
      </c>
      <c r="X189" s="15" t="s">
        <v>1138</v>
      </c>
      <c r="Y189" s="15" t="s">
        <v>1135</v>
      </c>
      <c r="Z189" s="15" t="s">
        <v>1139</v>
      </c>
      <c r="AA189" s="15" t="s">
        <v>2153</v>
      </c>
      <c r="AB189" s="13">
        <v>46073</v>
      </c>
      <c r="AC189" s="14"/>
    </row>
    <row r="190" spans="1:29" x14ac:dyDescent="0.35">
      <c r="A190" s="15">
        <v>189</v>
      </c>
      <c r="B190" s="15" t="s">
        <v>1771</v>
      </c>
      <c r="C190" s="16" t="s">
        <v>1772</v>
      </c>
      <c r="D190" s="15" t="s">
        <v>797</v>
      </c>
      <c r="E190" s="13">
        <v>45933</v>
      </c>
      <c r="F190" s="15" t="s">
        <v>1773</v>
      </c>
      <c r="G190" s="13">
        <v>45933</v>
      </c>
      <c r="H190" s="15" t="s">
        <v>56</v>
      </c>
      <c r="I190" s="15" t="s">
        <v>1134</v>
      </c>
      <c r="J190" s="19"/>
      <c r="K190" s="15" t="s">
        <v>1135</v>
      </c>
      <c r="L190" s="15" t="s">
        <v>1135</v>
      </c>
      <c r="M190" s="18" t="s">
        <v>1775</v>
      </c>
      <c r="N190" s="15" t="s">
        <v>1135</v>
      </c>
      <c r="O190" s="15" t="s">
        <v>1776</v>
      </c>
      <c r="P190" s="19"/>
      <c r="Q190" s="19"/>
      <c r="R190" s="15">
        <v>36152781</v>
      </c>
      <c r="S190" s="15">
        <v>1</v>
      </c>
      <c r="T190" s="17">
        <v>41072</v>
      </c>
      <c r="U190" s="17">
        <f t="shared" si="2"/>
        <v>41072</v>
      </c>
      <c r="V190" s="15" t="s">
        <v>1138</v>
      </c>
      <c r="W190" s="15" t="s">
        <v>1138</v>
      </c>
      <c r="X190" s="15" t="s">
        <v>1138</v>
      </c>
      <c r="Y190" s="15" t="s">
        <v>1135</v>
      </c>
      <c r="Z190" s="15" t="s">
        <v>1139</v>
      </c>
      <c r="AA190" s="15" t="s">
        <v>2153</v>
      </c>
      <c r="AB190" s="13">
        <v>46073</v>
      </c>
      <c r="AC190" s="14"/>
    </row>
    <row r="191" spans="1:29" x14ac:dyDescent="0.35">
      <c r="A191" s="15">
        <v>190</v>
      </c>
      <c r="B191" s="15" t="s">
        <v>1771</v>
      </c>
      <c r="C191" s="16" t="s">
        <v>1772</v>
      </c>
      <c r="D191" s="15" t="s">
        <v>797</v>
      </c>
      <c r="E191" s="13">
        <v>45933</v>
      </c>
      <c r="F191" s="15" t="s">
        <v>1773</v>
      </c>
      <c r="G191" s="13">
        <v>45933</v>
      </c>
      <c r="H191" s="15" t="s">
        <v>56</v>
      </c>
      <c r="I191" s="15" t="s">
        <v>1134</v>
      </c>
      <c r="J191" s="19"/>
      <c r="K191" s="15" t="s">
        <v>1135</v>
      </c>
      <c r="L191" s="15" t="s">
        <v>1135</v>
      </c>
      <c r="M191" s="18" t="s">
        <v>1777</v>
      </c>
      <c r="N191" s="15" t="s">
        <v>1135</v>
      </c>
      <c r="O191" s="15" t="s">
        <v>1778</v>
      </c>
      <c r="P191" s="19"/>
      <c r="Q191" s="19"/>
      <c r="R191" s="15">
        <v>36012036</v>
      </c>
      <c r="S191" s="15">
        <v>1</v>
      </c>
      <c r="T191" s="17">
        <v>6920</v>
      </c>
      <c r="U191" s="17">
        <f t="shared" si="2"/>
        <v>6920</v>
      </c>
      <c r="V191" s="15" t="s">
        <v>1138</v>
      </c>
      <c r="W191" s="15" t="s">
        <v>1138</v>
      </c>
      <c r="X191" s="15" t="s">
        <v>1138</v>
      </c>
      <c r="Y191" s="15" t="s">
        <v>1135</v>
      </c>
      <c r="Z191" s="15" t="s">
        <v>1139</v>
      </c>
      <c r="AA191" s="15" t="s">
        <v>2153</v>
      </c>
      <c r="AB191" s="13">
        <v>46073</v>
      </c>
      <c r="AC191" s="14"/>
    </row>
    <row r="192" spans="1:29" x14ac:dyDescent="0.35">
      <c r="A192" s="15">
        <v>191</v>
      </c>
      <c r="B192" s="15" t="s">
        <v>1779</v>
      </c>
      <c r="C192" s="16" t="s">
        <v>1780</v>
      </c>
      <c r="D192" s="15" t="s">
        <v>808</v>
      </c>
      <c r="E192" s="13">
        <v>45933</v>
      </c>
      <c r="F192" s="15" t="s">
        <v>1781</v>
      </c>
      <c r="G192" s="13">
        <v>45933</v>
      </c>
      <c r="H192" s="15" t="s">
        <v>56</v>
      </c>
      <c r="I192" s="15" t="s">
        <v>1134</v>
      </c>
      <c r="J192" s="19"/>
      <c r="K192" s="15" t="s">
        <v>1135</v>
      </c>
      <c r="L192" s="15" t="s">
        <v>1135</v>
      </c>
      <c r="M192" s="18" t="s">
        <v>1782</v>
      </c>
      <c r="N192" s="18" t="s">
        <v>1783</v>
      </c>
      <c r="O192" s="15" t="s">
        <v>1213</v>
      </c>
      <c r="P192" s="19"/>
      <c r="Q192" s="19"/>
      <c r="R192" s="15">
        <v>36317701</v>
      </c>
      <c r="S192" s="15">
        <v>1</v>
      </c>
      <c r="T192" s="17">
        <v>6920</v>
      </c>
      <c r="U192" s="17">
        <f t="shared" si="2"/>
        <v>6920</v>
      </c>
      <c r="V192" s="15" t="s">
        <v>1138</v>
      </c>
      <c r="W192" s="15" t="s">
        <v>1138</v>
      </c>
      <c r="X192" s="15" t="s">
        <v>1138</v>
      </c>
      <c r="Y192" s="15" t="s">
        <v>1135</v>
      </c>
      <c r="Z192" s="15" t="s">
        <v>1139</v>
      </c>
      <c r="AA192" s="15" t="s">
        <v>2153</v>
      </c>
      <c r="AB192" s="13">
        <v>46073</v>
      </c>
      <c r="AC192" s="14"/>
    </row>
    <row r="193" spans="1:29" x14ac:dyDescent="0.35">
      <c r="A193" s="15">
        <v>192</v>
      </c>
      <c r="B193" s="15" t="s">
        <v>1784</v>
      </c>
      <c r="C193" s="16" t="s">
        <v>1785</v>
      </c>
      <c r="D193" s="15" t="s">
        <v>813</v>
      </c>
      <c r="E193" s="13">
        <v>45933</v>
      </c>
      <c r="F193" s="15" t="s">
        <v>1786</v>
      </c>
      <c r="G193" s="15" t="s">
        <v>1135</v>
      </c>
      <c r="H193" s="15" t="s">
        <v>56</v>
      </c>
      <c r="I193" s="15" t="s">
        <v>1134</v>
      </c>
      <c r="J193" s="19"/>
      <c r="K193" s="15" t="s">
        <v>1135</v>
      </c>
      <c r="L193" s="15" t="s">
        <v>1135</v>
      </c>
      <c r="M193" s="15" t="s">
        <v>1787</v>
      </c>
      <c r="N193" s="18" t="s">
        <v>1788</v>
      </c>
      <c r="O193" s="15" t="s">
        <v>1789</v>
      </c>
      <c r="P193" s="19"/>
      <c r="Q193" s="19"/>
      <c r="R193" s="15">
        <v>35646698</v>
      </c>
      <c r="S193" s="15">
        <v>1</v>
      </c>
      <c r="T193" s="17">
        <v>38933.129999999997</v>
      </c>
      <c r="U193" s="17">
        <f t="shared" si="2"/>
        <v>38933.129999999997</v>
      </c>
      <c r="V193" s="15" t="s">
        <v>1138</v>
      </c>
      <c r="W193" s="15" t="s">
        <v>1138</v>
      </c>
      <c r="X193" s="15" t="s">
        <v>1138</v>
      </c>
      <c r="Y193" s="15" t="s">
        <v>1135</v>
      </c>
      <c r="Z193" s="15" t="s">
        <v>1139</v>
      </c>
      <c r="AA193" s="15" t="s">
        <v>2153</v>
      </c>
      <c r="AB193" s="13">
        <v>46073</v>
      </c>
      <c r="AC193" s="14"/>
    </row>
    <row r="194" spans="1:29" x14ac:dyDescent="0.35">
      <c r="A194" s="15">
        <v>193</v>
      </c>
      <c r="B194" s="15" t="s">
        <v>1790</v>
      </c>
      <c r="C194" s="16" t="s">
        <v>1791</v>
      </c>
      <c r="D194" s="15" t="s">
        <v>821</v>
      </c>
      <c r="E194" s="13">
        <v>45934</v>
      </c>
      <c r="F194" s="15" t="s">
        <v>1792</v>
      </c>
      <c r="G194" s="13">
        <v>45934</v>
      </c>
      <c r="H194" s="15" t="s">
        <v>56</v>
      </c>
      <c r="I194" s="15" t="s">
        <v>1134</v>
      </c>
      <c r="J194" s="19"/>
      <c r="K194" s="15" t="s">
        <v>1135</v>
      </c>
      <c r="L194" s="15" t="s">
        <v>1135</v>
      </c>
      <c r="M194" s="15" t="s">
        <v>1793</v>
      </c>
      <c r="N194" s="18" t="s">
        <v>1794</v>
      </c>
      <c r="O194" s="15" t="s">
        <v>1490</v>
      </c>
      <c r="P194" s="19"/>
      <c r="Q194" s="19"/>
      <c r="R194" s="15">
        <v>34634901</v>
      </c>
      <c r="S194" s="15">
        <v>1</v>
      </c>
      <c r="T194" s="17">
        <v>6920</v>
      </c>
      <c r="U194" s="17">
        <f t="shared" ref="U194:U257" si="3">T194*S194</f>
        <v>6920</v>
      </c>
      <c r="V194" s="15" t="s">
        <v>1138</v>
      </c>
      <c r="W194" s="15" t="s">
        <v>1138</v>
      </c>
      <c r="X194" s="15" t="s">
        <v>1138</v>
      </c>
      <c r="Y194" s="15" t="s">
        <v>1135</v>
      </c>
      <c r="Z194" s="15" t="s">
        <v>1139</v>
      </c>
      <c r="AA194" s="15" t="s">
        <v>2153</v>
      </c>
      <c r="AB194" s="13">
        <v>46073</v>
      </c>
      <c r="AC194" s="14"/>
    </row>
    <row r="195" spans="1:29" x14ac:dyDescent="0.35">
      <c r="A195" s="15">
        <v>194</v>
      </c>
      <c r="B195" s="15" t="s">
        <v>1795</v>
      </c>
      <c r="C195" s="16" t="s">
        <v>1796</v>
      </c>
      <c r="D195" s="15" t="s">
        <v>837</v>
      </c>
      <c r="E195" s="13">
        <v>45936</v>
      </c>
      <c r="F195" s="15" t="s">
        <v>1797</v>
      </c>
      <c r="G195" s="13">
        <v>45936</v>
      </c>
      <c r="H195" s="15" t="s">
        <v>56</v>
      </c>
      <c r="I195" s="15" t="s">
        <v>1134</v>
      </c>
      <c r="J195" s="19"/>
      <c r="K195" s="15" t="s">
        <v>1135</v>
      </c>
      <c r="L195" s="15" t="s">
        <v>1135</v>
      </c>
      <c r="M195" s="18" t="s">
        <v>1798</v>
      </c>
      <c r="N195" s="15" t="s">
        <v>1135</v>
      </c>
      <c r="O195" s="15" t="s">
        <v>519</v>
      </c>
      <c r="P195" s="19"/>
      <c r="Q195" s="19"/>
      <c r="R195" s="15">
        <v>35949573</v>
      </c>
      <c r="S195" s="15">
        <v>1</v>
      </c>
      <c r="T195" s="17">
        <v>3571</v>
      </c>
      <c r="U195" s="17">
        <f t="shared" si="3"/>
        <v>3571</v>
      </c>
      <c r="V195" s="15" t="s">
        <v>1138</v>
      </c>
      <c r="W195" s="15" t="s">
        <v>1138</v>
      </c>
      <c r="X195" s="15" t="s">
        <v>1138</v>
      </c>
      <c r="Y195" s="15" t="s">
        <v>1135</v>
      </c>
      <c r="Z195" s="15" t="s">
        <v>1139</v>
      </c>
      <c r="AA195" s="15" t="s">
        <v>2153</v>
      </c>
      <c r="AB195" s="13">
        <v>46073</v>
      </c>
      <c r="AC195" s="14"/>
    </row>
    <row r="196" spans="1:29" x14ac:dyDescent="0.35">
      <c r="A196" s="15">
        <v>195</v>
      </c>
      <c r="B196" s="15" t="s">
        <v>1799</v>
      </c>
      <c r="C196" s="16" t="s">
        <v>1800</v>
      </c>
      <c r="D196" s="15" t="s">
        <v>839</v>
      </c>
      <c r="E196" s="13">
        <v>45936</v>
      </c>
      <c r="F196" s="15" t="s">
        <v>1801</v>
      </c>
      <c r="G196" s="13">
        <v>45936</v>
      </c>
      <c r="H196" s="15" t="s">
        <v>56</v>
      </c>
      <c r="I196" s="15" t="s">
        <v>1134</v>
      </c>
      <c r="J196" s="19"/>
      <c r="K196" s="15" t="s">
        <v>1135</v>
      </c>
      <c r="L196" s="15" t="s">
        <v>1135</v>
      </c>
      <c r="M196" s="18" t="s">
        <v>1802</v>
      </c>
      <c r="N196" s="18" t="s">
        <v>1803</v>
      </c>
      <c r="O196" s="15" t="s">
        <v>1472</v>
      </c>
      <c r="P196" s="19"/>
      <c r="Q196" s="19"/>
      <c r="R196" s="15">
        <v>36261954</v>
      </c>
      <c r="S196" s="15">
        <v>1</v>
      </c>
      <c r="T196" s="17">
        <v>6920</v>
      </c>
      <c r="U196" s="17">
        <f t="shared" si="3"/>
        <v>6920</v>
      </c>
      <c r="V196" s="15" t="s">
        <v>1138</v>
      </c>
      <c r="W196" s="15" t="s">
        <v>1138</v>
      </c>
      <c r="X196" s="15" t="s">
        <v>1138</v>
      </c>
      <c r="Y196" s="15" t="s">
        <v>1135</v>
      </c>
      <c r="Z196" s="15" t="s">
        <v>1139</v>
      </c>
      <c r="AA196" s="15" t="s">
        <v>2153</v>
      </c>
      <c r="AB196" s="13">
        <v>46073</v>
      </c>
      <c r="AC196" s="14"/>
    </row>
    <row r="197" spans="1:29" x14ac:dyDescent="0.35">
      <c r="A197" s="15">
        <v>196</v>
      </c>
      <c r="B197" s="15" t="s">
        <v>1804</v>
      </c>
      <c r="C197" s="16" t="s">
        <v>1805</v>
      </c>
      <c r="D197" s="15" t="s">
        <v>842</v>
      </c>
      <c r="E197" s="13">
        <v>45936</v>
      </c>
      <c r="F197" s="15" t="s">
        <v>1806</v>
      </c>
      <c r="G197" s="15" t="s">
        <v>1135</v>
      </c>
      <c r="H197" s="15" t="s">
        <v>56</v>
      </c>
      <c r="I197" s="15" t="s">
        <v>1134</v>
      </c>
      <c r="J197" s="19"/>
      <c r="K197" s="15" t="s">
        <v>1135</v>
      </c>
      <c r="L197" s="15" t="s">
        <v>1135</v>
      </c>
      <c r="M197" s="15" t="s">
        <v>1807</v>
      </c>
      <c r="N197" s="18" t="s">
        <v>1808</v>
      </c>
      <c r="O197" s="15" t="s">
        <v>1368</v>
      </c>
      <c r="P197" s="19"/>
      <c r="Q197" s="19"/>
      <c r="R197" s="15">
        <v>35281703</v>
      </c>
      <c r="S197" s="15">
        <v>1</v>
      </c>
      <c r="T197" s="17">
        <v>38933.129999999997</v>
      </c>
      <c r="U197" s="17">
        <f t="shared" si="3"/>
        <v>38933.129999999997</v>
      </c>
      <c r="V197" s="15" t="s">
        <v>1138</v>
      </c>
      <c r="W197" s="15" t="s">
        <v>1138</v>
      </c>
      <c r="X197" s="15" t="s">
        <v>1138</v>
      </c>
      <c r="Y197" s="15" t="s">
        <v>1135</v>
      </c>
      <c r="Z197" s="15" t="s">
        <v>1139</v>
      </c>
      <c r="AA197" s="15" t="s">
        <v>2153</v>
      </c>
      <c r="AB197" s="13">
        <v>46073</v>
      </c>
      <c r="AC197" s="14"/>
    </row>
    <row r="198" spans="1:29" x14ac:dyDescent="0.35">
      <c r="A198" s="15">
        <v>197</v>
      </c>
      <c r="B198" s="15" t="s">
        <v>1804</v>
      </c>
      <c r="C198" s="16" t="s">
        <v>1805</v>
      </c>
      <c r="D198" s="15" t="s">
        <v>842</v>
      </c>
      <c r="E198" s="13">
        <v>45936</v>
      </c>
      <c r="F198" s="15" t="s">
        <v>1806</v>
      </c>
      <c r="G198" s="15" t="s">
        <v>1135</v>
      </c>
      <c r="H198" s="15" t="s">
        <v>56</v>
      </c>
      <c r="I198" s="15" t="s">
        <v>1134</v>
      </c>
      <c r="J198" s="19"/>
      <c r="K198" s="15" t="s">
        <v>1135</v>
      </c>
      <c r="L198" s="15" t="s">
        <v>1135</v>
      </c>
      <c r="M198" s="18" t="s">
        <v>1809</v>
      </c>
      <c r="N198" s="18" t="s">
        <v>1808</v>
      </c>
      <c r="O198" s="15" t="s">
        <v>1311</v>
      </c>
      <c r="P198" s="19"/>
      <c r="Q198" s="19"/>
      <c r="R198" s="15">
        <v>36013642</v>
      </c>
      <c r="S198" s="15">
        <v>1</v>
      </c>
      <c r="T198" s="17">
        <v>38933.129999999997</v>
      </c>
      <c r="U198" s="17">
        <f t="shared" si="3"/>
        <v>38933.129999999997</v>
      </c>
      <c r="V198" s="15" t="s">
        <v>1138</v>
      </c>
      <c r="W198" s="15" t="s">
        <v>1138</v>
      </c>
      <c r="X198" s="15" t="s">
        <v>1138</v>
      </c>
      <c r="Y198" s="15" t="s">
        <v>1135</v>
      </c>
      <c r="Z198" s="15" t="s">
        <v>1139</v>
      </c>
      <c r="AA198" s="15" t="s">
        <v>2153</v>
      </c>
      <c r="AB198" s="13">
        <v>46073</v>
      </c>
      <c r="AC198" s="14"/>
    </row>
    <row r="199" spans="1:29" x14ac:dyDescent="0.35">
      <c r="A199" s="15">
        <v>198</v>
      </c>
      <c r="B199" s="15" t="s">
        <v>1804</v>
      </c>
      <c r="C199" s="16" t="s">
        <v>1805</v>
      </c>
      <c r="D199" s="15" t="s">
        <v>842</v>
      </c>
      <c r="E199" s="13">
        <v>45936</v>
      </c>
      <c r="F199" s="15" t="s">
        <v>1806</v>
      </c>
      <c r="G199" s="15" t="s">
        <v>1135</v>
      </c>
      <c r="H199" s="15" t="s">
        <v>56</v>
      </c>
      <c r="I199" s="15" t="s">
        <v>1134</v>
      </c>
      <c r="J199" s="19"/>
      <c r="K199" s="15" t="s">
        <v>1135</v>
      </c>
      <c r="L199" s="15" t="s">
        <v>1135</v>
      </c>
      <c r="M199" s="18" t="s">
        <v>1810</v>
      </c>
      <c r="N199" s="18" t="s">
        <v>1808</v>
      </c>
      <c r="O199" s="15" t="s">
        <v>1709</v>
      </c>
      <c r="P199" s="19"/>
      <c r="Q199" s="19"/>
      <c r="R199" s="15">
        <v>36254950</v>
      </c>
      <c r="S199" s="15">
        <v>1</v>
      </c>
      <c r="T199" s="17">
        <v>41071</v>
      </c>
      <c r="U199" s="17">
        <f t="shared" si="3"/>
        <v>41071</v>
      </c>
      <c r="V199" s="15" t="s">
        <v>1138</v>
      </c>
      <c r="W199" s="15" t="s">
        <v>1138</v>
      </c>
      <c r="X199" s="15" t="s">
        <v>1138</v>
      </c>
      <c r="Y199" s="15" t="s">
        <v>1135</v>
      </c>
      <c r="Z199" s="15" t="s">
        <v>1139</v>
      </c>
      <c r="AA199" s="15" t="s">
        <v>2153</v>
      </c>
      <c r="AB199" s="13">
        <v>46073</v>
      </c>
      <c r="AC199" s="14"/>
    </row>
    <row r="200" spans="1:29" x14ac:dyDescent="0.35">
      <c r="A200" s="15">
        <v>199</v>
      </c>
      <c r="B200" s="15" t="s">
        <v>1804</v>
      </c>
      <c r="C200" s="16" t="s">
        <v>1805</v>
      </c>
      <c r="D200" s="15" t="s">
        <v>842</v>
      </c>
      <c r="E200" s="13">
        <v>45936</v>
      </c>
      <c r="F200" s="15" t="s">
        <v>1806</v>
      </c>
      <c r="G200" s="15" t="s">
        <v>1135</v>
      </c>
      <c r="H200" s="15" t="s">
        <v>56</v>
      </c>
      <c r="I200" s="15" t="s">
        <v>1134</v>
      </c>
      <c r="J200" s="19"/>
      <c r="K200" s="15" t="s">
        <v>1135</v>
      </c>
      <c r="L200" s="15" t="s">
        <v>1135</v>
      </c>
      <c r="M200" s="18" t="s">
        <v>1811</v>
      </c>
      <c r="N200" s="18" t="s">
        <v>1808</v>
      </c>
      <c r="O200" s="15" t="s">
        <v>365</v>
      </c>
      <c r="P200" s="19"/>
      <c r="Q200" s="19"/>
      <c r="R200" s="15">
        <v>36406027</v>
      </c>
      <c r="S200" s="15">
        <v>1</v>
      </c>
      <c r="T200" s="17">
        <v>43750</v>
      </c>
      <c r="U200" s="17">
        <f t="shared" si="3"/>
        <v>43750</v>
      </c>
      <c r="V200" s="15" t="s">
        <v>1138</v>
      </c>
      <c r="W200" s="15" t="s">
        <v>1138</v>
      </c>
      <c r="X200" s="15" t="s">
        <v>1138</v>
      </c>
      <c r="Y200" s="15" t="s">
        <v>1135</v>
      </c>
      <c r="Z200" s="15" t="s">
        <v>1139</v>
      </c>
      <c r="AA200" s="15" t="s">
        <v>2153</v>
      </c>
      <c r="AB200" s="13">
        <v>46073</v>
      </c>
      <c r="AC200" s="14"/>
    </row>
    <row r="201" spans="1:29" x14ac:dyDescent="0.35">
      <c r="A201" s="15">
        <v>200</v>
      </c>
      <c r="B201" s="15" t="s">
        <v>1812</v>
      </c>
      <c r="C201" s="16" t="s">
        <v>1813</v>
      </c>
      <c r="D201" s="15" t="s">
        <v>849</v>
      </c>
      <c r="E201" s="13">
        <v>45937</v>
      </c>
      <c r="F201" s="15" t="s">
        <v>1814</v>
      </c>
      <c r="G201" s="13">
        <v>45937</v>
      </c>
      <c r="H201" s="15" t="s">
        <v>56</v>
      </c>
      <c r="I201" s="15" t="s">
        <v>1134</v>
      </c>
      <c r="J201" s="19"/>
      <c r="K201" s="15" t="s">
        <v>1135</v>
      </c>
      <c r="L201" s="15" t="s">
        <v>1135</v>
      </c>
      <c r="M201" s="18" t="s">
        <v>1815</v>
      </c>
      <c r="N201" s="15" t="s">
        <v>1135</v>
      </c>
      <c r="O201" s="15" t="s">
        <v>1215</v>
      </c>
      <c r="P201" s="19"/>
      <c r="Q201" s="19"/>
      <c r="R201" s="15">
        <v>36153762</v>
      </c>
      <c r="S201" s="15">
        <v>1</v>
      </c>
      <c r="T201" s="17">
        <v>6920</v>
      </c>
      <c r="U201" s="17">
        <f t="shared" si="3"/>
        <v>6920</v>
      </c>
      <c r="V201" s="15" t="s">
        <v>1138</v>
      </c>
      <c r="W201" s="15" t="s">
        <v>1138</v>
      </c>
      <c r="X201" s="15" t="s">
        <v>1138</v>
      </c>
      <c r="Y201" s="15" t="s">
        <v>1135</v>
      </c>
      <c r="Z201" s="15" t="s">
        <v>1139</v>
      </c>
      <c r="AA201" s="15" t="s">
        <v>2153</v>
      </c>
      <c r="AB201" s="13">
        <v>46073</v>
      </c>
      <c r="AC201" s="14"/>
    </row>
    <row r="202" spans="1:29" x14ac:dyDescent="0.35">
      <c r="A202" s="15">
        <v>201</v>
      </c>
      <c r="B202" s="15" t="s">
        <v>1812</v>
      </c>
      <c r="C202" s="16" t="s">
        <v>1813</v>
      </c>
      <c r="D202" s="15" t="s">
        <v>849</v>
      </c>
      <c r="E202" s="13">
        <v>45937</v>
      </c>
      <c r="F202" s="15" t="s">
        <v>1814</v>
      </c>
      <c r="G202" s="13">
        <v>45937</v>
      </c>
      <c r="H202" s="15" t="s">
        <v>56</v>
      </c>
      <c r="I202" s="15" t="s">
        <v>1134</v>
      </c>
      <c r="J202" s="19"/>
      <c r="K202" s="15" t="s">
        <v>1135</v>
      </c>
      <c r="L202" s="15" t="s">
        <v>1135</v>
      </c>
      <c r="M202" s="15" t="s">
        <v>1816</v>
      </c>
      <c r="N202" s="15" t="s">
        <v>1135</v>
      </c>
      <c r="O202" s="15" t="s">
        <v>1817</v>
      </c>
      <c r="P202" s="19"/>
      <c r="Q202" s="19"/>
      <c r="R202" s="15">
        <v>35185990</v>
      </c>
      <c r="S202" s="15">
        <v>1</v>
      </c>
      <c r="T202" s="17">
        <v>38933.129999999997</v>
      </c>
      <c r="U202" s="17">
        <f t="shared" si="3"/>
        <v>38933.129999999997</v>
      </c>
      <c r="V202" s="15" t="s">
        <v>1138</v>
      </c>
      <c r="W202" s="15" t="s">
        <v>1138</v>
      </c>
      <c r="X202" s="15" t="s">
        <v>1138</v>
      </c>
      <c r="Y202" s="15" t="s">
        <v>1135</v>
      </c>
      <c r="Z202" s="15" t="s">
        <v>1139</v>
      </c>
      <c r="AA202" s="15" t="s">
        <v>2153</v>
      </c>
      <c r="AB202" s="13">
        <v>46073</v>
      </c>
      <c r="AC202" s="14"/>
    </row>
    <row r="203" spans="1:29" x14ac:dyDescent="0.35">
      <c r="A203" s="15">
        <v>202</v>
      </c>
      <c r="B203" s="15" t="s">
        <v>1818</v>
      </c>
      <c r="C203" s="16" t="s">
        <v>1819</v>
      </c>
      <c r="D203" s="15" t="s">
        <v>855</v>
      </c>
      <c r="E203" s="13">
        <v>45937</v>
      </c>
      <c r="F203" s="15" t="s">
        <v>1820</v>
      </c>
      <c r="G203" s="13">
        <v>45937</v>
      </c>
      <c r="H203" s="15" t="s">
        <v>56</v>
      </c>
      <c r="I203" s="15" t="s">
        <v>1134</v>
      </c>
      <c r="J203" s="19"/>
      <c r="K203" s="15" t="s">
        <v>1135</v>
      </c>
      <c r="L203" s="15" t="s">
        <v>1135</v>
      </c>
      <c r="M203" s="15" t="s">
        <v>1821</v>
      </c>
      <c r="N203" s="15" t="s">
        <v>1135</v>
      </c>
      <c r="O203" s="15" t="s">
        <v>1822</v>
      </c>
      <c r="P203" s="19"/>
      <c r="Q203" s="19"/>
      <c r="R203" s="15">
        <v>32921383</v>
      </c>
      <c r="S203" s="15">
        <v>1</v>
      </c>
      <c r="T203" s="17">
        <v>38933.129999999997</v>
      </c>
      <c r="U203" s="17">
        <f t="shared" si="3"/>
        <v>38933.129999999997</v>
      </c>
      <c r="V203" s="15" t="s">
        <v>1138</v>
      </c>
      <c r="W203" s="15" t="s">
        <v>1138</v>
      </c>
      <c r="X203" s="15" t="s">
        <v>1138</v>
      </c>
      <c r="Y203" s="15" t="s">
        <v>1135</v>
      </c>
      <c r="Z203" s="15" t="s">
        <v>1139</v>
      </c>
      <c r="AA203" s="15" t="s">
        <v>2153</v>
      </c>
      <c r="AB203" s="13">
        <v>46073</v>
      </c>
      <c r="AC203" s="14"/>
    </row>
    <row r="204" spans="1:29" x14ac:dyDescent="0.35">
      <c r="A204" s="15">
        <v>203</v>
      </c>
      <c r="B204" s="15" t="s">
        <v>1818</v>
      </c>
      <c r="C204" s="16" t="s">
        <v>1819</v>
      </c>
      <c r="D204" s="15" t="s">
        <v>855</v>
      </c>
      <c r="E204" s="13">
        <v>45937</v>
      </c>
      <c r="F204" s="15" t="s">
        <v>1820</v>
      </c>
      <c r="G204" s="13">
        <v>45937</v>
      </c>
      <c r="H204" s="15" t="s">
        <v>56</v>
      </c>
      <c r="I204" s="15" t="s">
        <v>1134</v>
      </c>
      <c r="J204" s="19"/>
      <c r="K204" s="15" t="s">
        <v>1135</v>
      </c>
      <c r="L204" s="15" t="s">
        <v>1135</v>
      </c>
      <c r="M204" s="15" t="s">
        <v>1823</v>
      </c>
      <c r="N204" s="15" t="s">
        <v>1135</v>
      </c>
      <c r="O204" s="15" t="s">
        <v>1824</v>
      </c>
      <c r="P204" s="19"/>
      <c r="Q204" s="19"/>
      <c r="R204" s="15">
        <v>33014827</v>
      </c>
      <c r="S204" s="15">
        <v>1</v>
      </c>
      <c r="T204" s="17">
        <v>38933.129999999997</v>
      </c>
      <c r="U204" s="17">
        <f t="shared" si="3"/>
        <v>38933.129999999997</v>
      </c>
      <c r="V204" s="15" t="s">
        <v>1138</v>
      </c>
      <c r="W204" s="15" t="s">
        <v>1138</v>
      </c>
      <c r="X204" s="15" t="s">
        <v>1138</v>
      </c>
      <c r="Y204" s="15" t="s">
        <v>1135</v>
      </c>
      <c r="Z204" s="15" t="s">
        <v>1139</v>
      </c>
      <c r="AA204" s="15" t="s">
        <v>2153</v>
      </c>
      <c r="AB204" s="13">
        <v>46073</v>
      </c>
      <c r="AC204" s="14"/>
    </row>
    <row r="205" spans="1:29" x14ac:dyDescent="0.35">
      <c r="A205" s="15">
        <v>204</v>
      </c>
      <c r="B205" s="15" t="s">
        <v>1818</v>
      </c>
      <c r="C205" s="16" t="s">
        <v>1819</v>
      </c>
      <c r="D205" s="15" t="s">
        <v>855</v>
      </c>
      <c r="E205" s="13">
        <v>45937</v>
      </c>
      <c r="F205" s="15" t="s">
        <v>1820</v>
      </c>
      <c r="G205" s="13">
        <v>45937</v>
      </c>
      <c r="H205" s="15" t="s">
        <v>56</v>
      </c>
      <c r="I205" s="15" t="s">
        <v>1134</v>
      </c>
      <c r="J205" s="19"/>
      <c r="K205" s="15" t="s">
        <v>1135</v>
      </c>
      <c r="L205" s="15" t="s">
        <v>1135</v>
      </c>
      <c r="M205" s="15" t="s">
        <v>1825</v>
      </c>
      <c r="N205" s="15" t="s">
        <v>1135</v>
      </c>
      <c r="O205" s="15" t="s">
        <v>1826</v>
      </c>
      <c r="P205" s="19"/>
      <c r="Q205" s="19"/>
      <c r="R205" s="15">
        <v>34803416</v>
      </c>
      <c r="S205" s="15">
        <v>1</v>
      </c>
      <c r="T205" s="17">
        <v>38933.129999999997</v>
      </c>
      <c r="U205" s="17">
        <f t="shared" si="3"/>
        <v>38933.129999999997</v>
      </c>
      <c r="V205" s="15" t="s">
        <v>1138</v>
      </c>
      <c r="W205" s="15" t="s">
        <v>1138</v>
      </c>
      <c r="X205" s="15" t="s">
        <v>1138</v>
      </c>
      <c r="Y205" s="15" t="s">
        <v>1135</v>
      </c>
      <c r="Z205" s="15" t="s">
        <v>1139</v>
      </c>
      <c r="AA205" s="15" t="s">
        <v>2153</v>
      </c>
      <c r="AB205" s="13">
        <v>46073</v>
      </c>
      <c r="AC205" s="14"/>
    </row>
    <row r="206" spans="1:29" x14ac:dyDescent="0.35">
      <c r="A206" s="15">
        <v>205</v>
      </c>
      <c r="B206" s="15" t="s">
        <v>1818</v>
      </c>
      <c r="C206" s="16" t="s">
        <v>1819</v>
      </c>
      <c r="D206" s="15" t="s">
        <v>855</v>
      </c>
      <c r="E206" s="13">
        <v>45937</v>
      </c>
      <c r="F206" s="15" t="s">
        <v>1820</v>
      </c>
      <c r="G206" s="13">
        <v>45937</v>
      </c>
      <c r="H206" s="15" t="s">
        <v>56</v>
      </c>
      <c r="I206" s="15" t="s">
        <v>1134</v>
      </c>
      <c r="J206" s="19"/>
      <c r="K206" s="15" t="s">
        <v>1135</v>
      </c>
      <c r="L206" s="15" t="s">
        <v>1135</v>
      </c>
      <c r="M206" s="18" t="s">
        <v>1827</v>
      </c>
      <c r="N206" s="15" t="s">
        <v>1135</v>
      </c>
      <c r="O206" s="15" t="s">
        <v>169</v>
      </c>
      <c r="P206" s="19"/>
      <c r="Q206" s="19"/>
      <c r="R206" s="15">
        <v>35906382</v>
      </c>
      <c r="S206" s="15">
        <v>1</v>
      </c>
      <c r="T206" s="17">
        <v>3571</v>
      </c>
      <c r="U206" s="17">
        <f t="shared" si="3"/>
        <v>3571</v>
      </c>
      <c r="V206" s="15" t="s">
        <v>1138</v>
      </c>
      <c r="W206" s="15" t="s">
        <v>1138</v>
      </c>
      <c r="X206" s="15" t="s">
        <v>1138</v>
      </c>
      <c r="Y206" s="15" t="s">
        <v>1135</v>
      </c>
      <c r="Z206" s="15" t="s">
        <v>1139</v>
      </c>
      <c r="AA206" s="15" t="s">
        <v>2153</v>
      </c>
      <c r="AB206" s="13">
        <v>46073</v>
      </c>
      <c r="AC206" s="14"/>
    </row>
    <row r="207" spans="1:29" x14ac:dyDescent="0.35">
      <c r="A207" s="15">
        <v>206</v>
      </c>
      <c r="B207" s="15" t="s">
        <v>1818</v>
      </c>
      <c r="C207" s="16" t="s">
        <v>1819</v>
      </c>
      <c r="D207" s="15" t="s">
        <v>855</v>
      </c>
      <c r="E207" s="13">
        <v>45937</v>
      </c>
      <c r="F207" s="15" t="s">
        <v>1820</v>
      </c>
      <c r="G207" s="13">
        <v>45937</v>
      </c>
      <c r="H207" s="15" t="s">
        <v>56</v>
      </c>
      <c r="I207" s="15" t="s">
        <v>1134</v>
      </c>
      <c r="J207" s="19"/>
      <c r="K207" s="15" t="s">
        <v>1135</v>
      </c>
      <c r="L207" s="15" t="s">
        <v>1135</v>
      </c>
      <c r="M207" s="18" t="s">
        <v>1828</v>
      </c>
      <c r="N207" s="15" t="s">
        <v>1135</v>
      </c>
      <c r="O207" s="15" t="s">
        <v>1213</v>
      </c>
      <c r="P207" s="19"/>
      <c r="Q207" s="19"/>
      <c r="R207" s="15">
        <v>36059205</v>
      </c>
      <c r="S207" s="15">
        <v>1</v>
      </c>
      <c r="T207" s="17">
        <v>6920</v>
      </c>
      <c r="U207" s="17">
        <f t="shared" si="3"/>
        <v>6920</v>
      </c>
      <c r="V207" s="15" t="s">
        <v>1138</v>
      </c>
      <c r="W207" s="15" t="s">
        <v>1138</v>
      </c>
      <c r="X207" s="15" t="s">
        <v>1138</v>
      </c>
      <c r="Y207" s="15" t="s">
        <v>1135</v>
      </c>
      <c r="Z207" s="15" t="s">
        <v>1139</v>
      </c>
      <c r="AA207" s="15" t="s">
        <v>2153</v>
      </c>
      <c r="AB207" s="13">
        <v>46073</v>
      </c>
      <c r="AC207" s="14"/>
    </row>
    <row r="208" spans="1:29" x14ac:dyDescent="0.35">
      <c r="A208" s="15">
        <v>207</v>
      </c>
      <c r="B208" s="15" t="s">
        <v>1829</v>
      </c>
      <c r="C208" s="16" t="s">
        <v>1830</v>
      </c>
      <c r="D208" s="15" t="s">
        <v>871</v>
      </c>
      <c r="E208" s="13">
        <v>45937</v>
      </c>
      <c r="F208" s="15" t="s">
        <v>1831</v>
      </c>
      <c r="G208" s="13">
        <v>45937</v>
      </c>
      <c r="H208" s="15" t="s">
        <v>56</v>
      </c>
      <c r="I208" s="15" t="s">
        <v>1134</v>
      </c>
      <c r="J208" s="19"/>
      <c r="K208" s="15" t="s">
        <v>1135</v>
      </c>
      <c r="L208" s="15" t="s">
        <v>1135</v>
      </c>
      <c r="M208" s="18" t="s">
        <v>1832</v>
      </c>
      <c r="N208" s="18" t="s">
        <v>1833</v>
      </c>
      <c r="O208" s="15" t="s">
        <v>1548</v>
      </c>
      <c r="P208" s="19"/>
      <c r="Q208" s="19"/>
      <c r="R208" s="15">
        <v>32571004</v>
      </c>
      <c r="S208" s="15">
        <v>1</v>
      </c>
      <c r="T208" s="17">
        <v>6920</v>
      </c>
      <c r="U208" s="17">
        <f t="shared" si="3"/>
        <v>6920</v>
      </c>
      <c r="V208" s="15" t="s">
        <v>1138</v>
      </c>
      <c r="W208" s="15" t="s">
        <v>1138</v>
      </c>
      <c r="X208" s="15" t="s">
        <v>1138</v>
      </c>
      <c r="Y208" s="15" t="s">
        <v>1135</v>
      </c>
      <c r="Z208" s="15" t="s">
        <v>1139</v>
      </c>
      <c r="AA208" s="15" t="s">
        <v>2153</v>
      </c>
      <c r="AB208" s="13">
        <v>46073</v>
      </c>
      <c r="AC208" s="14"/>
    </row>
    <row r="209" spans="1:29" x14ac:dyDescent="0.35">
      <c r="A209" s="15">
        <v>208</v>
      </c>
      <c r="B209" s="15" t="s">
        <v>1834</v>
      </c>
      <c r="C209" s="16" t="s">
        <v>1835</v>
      </c>
      <c r="D209" s="15" t="s">
        <v>874</v>
      </c>
      <c r="E209" s="13">
        <v>45938</v>
      </c>
      <c r="F209" s="15" t="s">
        <v>1836</v>
      </c>
      <c r="G209" s="13">
        <v>45938</v>
      </c>
      <c r="H209" s="15" t="s">
        <v>56</v>
      </c>
      <c r="I209" s="15" t="s">
        <v>1134</v>
      </c>
      <c r="J209" s="19"/>
      <c r="K209" s="15" t="s">
        <v>1135</v>
      </c>
      <c r="L209" s="15" t="s">
        <v>1135</v>
      </c>
      <c r="M209" s="18" t="s">
        <v>1837</v>
      </c>
      <c r="N209" s="18" t="s">
        <v>1838</v>
      </c>
      <c r="O209" s="15" t="s">
        <v>1213</v>
      </c>
      <c r="P209" s="19"/>
      <c r="Q209" s="19"/>
      <c r="R209" s="15">
        <v>36317693</v>
      </c>
      <c r="S209" s="15">
        <v>1</v>
      </c>
      <c r="T209" s="17">
        <v>6920</v>
      </c>
      <c r="U209" s="17">
        <f t="shared" si="3"/>
        <v>6920</v>
      </c>
      <c r="V209" s="15" t="s">
        <v>1138</v>
      </c>
      <c r="W209" s="15" t="s">
        <v>1138</v>
      </c>
      <c r="X209" s="15" t="s">
        <v>1138</v>
      </c>
      <c r="Y209" s="15" t="s">
        <v>1135</v>
      </c>
      <c r="Z209" s="15" t="s">
        <v>1139</v>
      </c>
      <c r="AA209" s="15" t="s">
        <v>2153</v>
      </c>
      <c r="AB209" s="13">
        <v>46073</v>
      </c>
      <c r="AC209" s="14"/>
    </row>
    <row r="210" spans="1:29" x14ac:dyDescent="0.35">
      <c r="A210" s="15">
        <v>209</v>
      </c>
      <c r="B210" s="15" t="s">
        <v>1834</v>
      </c>
      <c r="C210" s="16" t="s">
        <v>1835</v>
      </c>
      <c r="D210" s="15" t="s">
        <v>874</v>
      </c>
      <c r="E210" s="13">
        <v>45938</v>
      </c>
      <c r="F210" s="15" t="s">
        <v>1836</v>
      </c>
      <c r="G210" s="13">
        <v>45938</v>
      </c>
      <c r="H210" s="15" t="s">
        <v>56</v>
      </c>
      <c r="I210" s="15" t="s">
        <v>1134</v>
      </c>
      <c r="J210" s="19"/>
      <c r="K210" s="15" t="s">
        <v>1135</v>
      </c>
      <c r="L210" s="15" t="s">
        <v>1135</v>
      </c>
      <c r="M210" s="18" t="s">
        <v>1839</v>
      </c>
      <c r="N210" s="18" t="s">
        <v>1838</v>
      </c>
      <c r="O210" s="15" t="s">
        <v>1215</v>
      </c>
      <c r="P210" s="19"/>
      <c r="Q210" s="19"/>
      <c r="R210" s="15">
        <v>36153761</v>
      </c>
      <c r="S210" s="15">
        <v>1</v>
      </c>
      <c r="T210" s="17">
        <v>6920</v>
      </c>
      <c r="U210" s="17">
        <f t="shared" si="3"/>
        <v>6920</v>
      </c>
      <c r="V210" s="15" t="s">
        <v>1138</v>
      </c>
      <c r="W210" s="15" t="s">
        <v>1138</v>
      </c>
      <c r="X210" s="15" t="s">
        <v>1138</v>
      </c>
      <c r="Y210" s="15" t="s">
        <v>1135</v>
      </c>
      <c r="Z210" s="15" t="s">
        <v>1139</v>
      </c>
      <c r="AA210" s="15" t="s">
        <v>2153</v>
      </c>
      <c r="AB210" s="13">
        <v>46073</v>
      </c>
      <c r="AC210" s="14"/>
    </row>
    <row r="211" spans="1:29" x14ac:dyDescent="0.35">
      <c r="A211" s="15">
        <v>210</v>
      </c>
      <c r="B211" s="15" t="s">
        <v>1834</v>
      </c>
      <c r="C211" s="16" t="s">
        <v>1835</v>
      </c>
      <c r="D211" s="15" t="s">
        <v>874</v>
      </c>
      <c r="E211" s="13">
        <v>45938</v>
      </c>
      <c r="F211" s="15" t="s">
        <v>1836</v>
      </c>
      <c r="G211" s="13">
        <v>45938</v>
      </c>
      <c r="H211" s="15" t="s">
        <v>56</v>
      </c>
      <c r="I211" s="15" t="s">
        <v>1134</v>
      </c>
      <c r="J211" s="19"/>
      <c r="K211" s="15" t="s">
        <v>1135</v>
      </c>
      <c r="L211" s="15" t="s">
        <v>1135</v>
      </c>
      <c r="M211" s="18" t="s">
        <v>1840</v>
      </c>
      <c r="N211" s="18" t="s">
        <v>1838</v>
      </c>
      <c r="O211" s="15" t="s">
        <v>1211</v>
      </c>
      <c r="P211" s="19"/>
      <c r="Q211" s="19"/>
      <c r="R211" s="15">
        <v>33459067</v>
      </c>
      <c r="S211" s="15">
        <v>1</v>
      </c>
      <c r="T211" s="17">
        <v>38933.129999999997</v>
      </c>
      <c r="U211" s="17">
        <f t="shared" si="3"/>
        <v>38933.129999999997</v>
      </c>
      <c r="V211" s="15" t="s">
        <v>1138</v>
      </c>
      <c r="W211" s="15" t="s">
        <v>1138</v>
      </c>
      <c r="X211" s="15" t="s">
        <v>1138</v>
      </c>
      <c r="Y211" s="15" t="s">
        <v>1135</v>
      </c>
      <c r="Z211" s="15" t="s">
        <v>1139</v>
      </c>
      <c r="AA211" s="15" t="s">
        <v>2153</v>
      </c>
      <c r="AB211" s="13">
        <v>46073</v>
      </c>
      <c r="AC211" s="14"/>
    </row>
    <row r="212" spans="1:29" x14ac:dyDescent="0.35">
      <c r="A212" s="15">
        <v>211</v>
      </c>
      <c r="B212" s="15" t="s">
        <v>1841</v>
      </c>
      <c r="C212" s="16" t="s">
        <v>1842</v>
      </c>
      <c r="D212" s="15" t="s">
        <v>878</v>
      </c>
      <c r="E212" s="13">
        <v>45938</v>
      </c>
      <c r="F212" s="15" t="s">
        <v>1843</v>
      </c>
      <c r="G212" s="13">
        <v>45938</v>
      </c>
      <c r="H212" s="15" t="s">
        <v>56</v>
      </c>
      <c r="I212" s="15" t="s">
        <v>1134</v>
      </c>
      <c r="J212" s="19"/>
      <c r="K212" s="15" t="s">
        <v>1135</v>
      </c>
      <c r="L212" s="15" t="s">
        <v>1135</v>
      </c>
      <c r="M212" s="18" t="s">
        <v>1844</v>
      </c>
      <c r="N212" s="18" t="s">
        <v>1845</v>
      </c>
      <c r="O212" s="15" t="s">
        <v>365</v>
      </c>
      <c r="P212" s="19"/>
      <c r="Q212" s="19"/>
      <c r="R212" s="15">
        <v>36406027</v>
      </c>
      <c r="S212" s="15">
        <v>1</v>
      </c>
      <c r="T212" s="17">
        <v>38095.24</v>
      </c>
      <c r="U212" s="17">
        <f t="shared" si="3"/>
        <v>38095.24</v>
      </c>
      <c r="V212" s="15" t="s">
        <v>1138</v>
      </c>
      <c r="W212" s="15" t="s">
        <v>1138</v>
      </c>
      <c r="X212" s="15" t="s">
        <v>1138</v>
      </c>
      <c r="Y212" s="15" t="s">
        <v>1135</v>
      </c>
      <c r="Z212" s="15" t="s">
        <v>1139</v>
      </c>
      <c r="AA212" s="15" t="s">
        <v>2153</v>
      </c>
      <c r="AB212" s="13">
        <v>46073</v>
      </c>
      <c r="AC212" s="14"/>
    </row>
    <row r="213" spans="1:29" x14ac:dyDescent="0.35">
      <c r="A213" s="15">
        <v>212</v>
      </c>
      <c r="B213" s="15" t="s">
        <v>1846</v>
      </c>
      <c r="C213" s="16" t="s">
        <v>1847</v>
      </c>
      <c r="D213" s="15" t="s">
        <v>891</v>
      </c>
      <c r="E213" s="13">
        <v>45939</v>
      </c>
      <c r="F213" s="15" t="s">
        <v>1848</v>
      </c>
      <c r="G213" s="13">
        <v>45939</v>
      </c>
      <c r="H213" s="15" t="s">
        <v>56</v>
      </c>
      <c r="I213" s="15" t="s">
        <v>1134</v>
      </c>
      <c r="J213" s="19"/>
      <c r="K213" s="15" t="s">
        <v>1135</v>
      </c>
      <c r="L213" s="15" t="s">
        <v>1135</v>
      </c>
      <c r="M213" s="18" t="s">
        <v>1849</v>
      </c>
      <c r="N213" s="18" t="s">
        <v>1850</v>
      </c>
      <c r="O213" s="15" t="s">
        <v>1441</v>
      </c>
      <c r="P213" s="19"/>
      <c r="Q213" s="19"/>
      <c r="R213" s="15">
        <v>36934938</v>
      </c>
      <c r="S213" s="15">
        <v>1</v>
      </c>
      <c r="T213" s="17">
        <v>6920</v>
      </c>
      <c r="U213" s="17">
        <f t="shared" si="3"/>
        <v>6920</v>
      </c>
      <c r="V213" s="15" t="s">
        <v>1138</v>
      </c>
      <c r="W213" s="15" t="s">
        <v>1138</v>
      </c>
      <c r="X213" s="15" t="s">
        <v>1138</v>
      </c>
      <c r="Y213" s="15" t="s">
        <v>1135</v>
      </c>
      <c r="Z213" s="15" t="s">
        <v>1139</v>
      </c>
      <c r="AA213" s="15" t="s">
        <v>2153</v>
      </c>
      <c r="AB213" s="13">
        <v>46073</v>
      </c>
      <c r="AC213" s="14"/>
    </row>
    <row r="214" spans="1:29" x14ac:dyDescent="0.35">
      <c r="A214" s="15">
        <v>213</v>
      </c>
      <c r="B214" s="15" t="s">
        <v>1851</v>
      </c>
      <c r="C214" s="16" t="s">
        <v>1852</v>
      </c>
      <c r="D214" s="15" t="s">
        <v>895</v>
      </c>
      <c r="E214" s="13">
        <v>45939</v>
      </c>
      <c r="F214" s="15" t="s">
        <v>1853</v>
      </c>
      <c r="G214" s="15" t="s">
        <v>1135</v>
      </c>
      <c r="H214" s="15" t="s">
        <v>56</v>
      </c>
      <c r="I214" s="18" t="s">
        <v>1134</v>
      </c>
      <c r="J214" s="19"/>
      <c r="K214" s="15" t="s">
        <v>1135</v>
      </c>
      <c r="L214" s="15" t="s">
        <v>1135</v>
      </c>
      <c r="M214" s="15" t="s">
        <v>1854</v>
      </c>
      <c r="N214" s="18" t="s">
        <v>1855</v>
      </c>
      <c r="O214" s="15" t="s">
        <v>1856</v>
      </c>
      <c r="P214" s="19"/>
      <c r="Q214" s="19"/>
      <c r="R214" s="15">
        <v>34475992</v>
      </c>
      <c r="S214" s="15">
        <v>1</v>
      </c>
      <c r="T214" s="17">
        <v>6920</v>
      </c>
      <c r="U214" s="17">
        <f t="shared" si="3"/>
        <v>6920</v>
      </c>
      <c r="V214" s="15" t="s">
        <v>1138</v>
      </c>
      <c r="W214" s="15" t="s">
        <v>1138</v>
      </c>
      <c r="X214" s="15" t="s">
        <v>1138</v>
      </c>
      <c r="Y214" s="15" t="s">
        <v>1135</v>
      </c>
      <c r="Z214" s="15" t="s">
        <v>1139</v>
      </c>
      <c r="AA214" s="15" t="s">
        <v>2153</v>
      </c>
      <c r="AB214" s="13">
        <v>46073</v>
      </c>
      <c r="AC214" s="14"/>
    </row>
    <row r="215" spans="1:29" x14ac:dyDescent="0.35">
      <c r="A215" s="15">
        <v>214</v>
      </c>
      <c r="B215" s="15" t="s">
        <v>1851</v>
      </c>
      <c r="C215" s="16" t="s">
        <v>1852</v>
      </c>
      <c r="D215" s="15" t="s">
        <v>895</v>
      </c>
      <c r="E215" s="13">
        <v>45939</v>
      </c>
      <c r="F215" s="15" t="s">
        <v>1853</v>
      </c>
      <c r="G215" s="15" t="s">
        <v>1135</v>
      </c>
      <c r="H215" s="15" t="s">
        <v>56</v>
      </c>
      <c r="I215" s="18" t="s">
        <v>1134</v>
      </c>
      <c r="J215" s="19"/>
      <c r="K215" s="15" t="s">
        <v>1135</v>
      </c>
      <c r="L215" s="15" t="s">
        <v>1135</v>
      </c>
      <c r="M215" s="18" t="s">
        <v>1857</v>
      </c>
      <c r="N215" s="18" t="s">
        <v>1855</v>
      </c>
      <c r="O215" s="15" t="s">
        <v>169</v>
      </c>
      <c r="P215" s="19"/>
      <c r="Q215" s="19"/>
      <c r="R215" s="15">
        <v>35981722</v>
      </c>
      <c r="S215" s="15">
        <v>1</v>
      </c>
      <c r="T215" s="17">
        <v>3571</v>
      </c>
      <c r="U215" s="17">
        <f t="shared" si="3"/>
        <v>3571</v>
      </c>
      <c r="V215" s="15" t="s">
        <v>1138</v>
      </c>
      <c r="W215" s="15" t="s">
        <v>1138</v>
      </c>
      <c r="X215" s="15" t="s">
        <v>1138</v>
      </c>
      <c r="Y215" s="15" t="s">
        <v>1135</v>
      </c>
      <c r="Z215" s="15" t="s">
        <v>1139</v>
      </c>
      <c r="AA215" s="15" t="s">
        <v>2153</v>
      </c>
      <c r="AB215" s="13">
        <v>46073</v>
      </c>
      <c r="AC215" s="14"/>
    </row>
    <row r="216" spans="1:29" x14ac:dyDescent="0.35">
      <c r="A216" s="15">
        <v>215</v>
      </c>
      <c r="B216" s="15" t="s">
        <v>1851</v>
      </c>
      <c r="C216" s="16" t="s">
        <v>1852</v>
      </c>
      <c r="D216" s="15" t="s">
        <v>895</v>
      </c>
      <c r="E216" s="13">
        <v>45939</v>
      </c>
      <c r="F216" s="15" t="s">
        <v>1853</v>
      </c>
      <c r="G216" s="15" t="s">
        <v>1135</v>
      </c>
      <c r="H216" s="15" t="s">
        <v>56</v>
      </c>
      <c r="I216" s="18" t="s">
        <v>1134</v>
      </c>
      <c r="J216" s="19"/>
      <c r="K216" s="15" t="s">
        <v>1135</v>
      </c>
      <c r="L216" s="15" t="s">
        <v>1135</v>
      </c>
      <c r="M216" s="18" t="s">
        <v>1858</v>
      </c>
      <c r="N216" s="18" t="s">
        <v>1855</v>
      </c>
      <c r="O216" s="15" t="s">
        <v>1859</v>
      </c>
      <c r="P216" s="19"/>
      <c r="Q216" s="19"/>
      <c r="R216" s="15">
        <v>34714301</v>
      </c>
      <c r="S216" s="15">
        <v>1</v>
      </c>
      <c r="T216" s="17">
        <v>38933.129999999997</v>
      </c>
      <c r="U216" s="17">
        <f t="shared" si="3"/>
        <v>38933.129999999997</v>
      </c>
      <c r="V216" s="15" t="s">
        <v>1138</v>
      </c>
      <c r="W216" s="15" t="s">
        <v>1138</v>
      </c>
      <c r="X216" s="15" t="s">
        <v>1138</v>
      </c>
      <c r="Y216" s="15" t="s">
        <v>1135</v>
      </c>
      <c r="Z216" s="15" t="s">
        <v>1139</v>
      </c>
      <c r="AA216" s="15" t="s">
        <v>2153</v>
      </c>
      <c r="AB216" s="13">
        <v>46073</v>
      </c>
      <c r="AC216" s="14"/>
    </row>
    <row r="217" spans="1:29" x14ac:dyDescent="0.35">
      <c r="A217" s="15">
        <v>216</v>
      </c>
      <c r="B217" s="15" t="s">
        <v>1860</v>
      </c>
      <c r="C217" s="16" t="s">
        <v>1861</v>
      </c>
      <c r="D217" s="15" t="s">
        <v>904</v>
      </c>
      <c r="E217" s="13">
        <v>45939</v>
      </c>
      <c r="F217" s="15" t="s">
        <v>1862</v>
      </c>
      <c r="G217" s="13">
        <v>45939</v>
      </c>
      <c r="H217" s="15" t="s">
        <v>56</v>
      </c>
      <c r="I217" s="15" t="s">
        <v>1134</v>
      </c>
      <c r="J217" s="19"/>
      <c r="K217" s="15" t="s">
        <v>1135</v>
      </c>
      <c r="L217" s="15" t="s">
        <v>1135</v>
      </c>
      <c r="M217" s="18" t="s">
        <v>1863</v>
      </c>
      <c r="N217" s="18" t="s">
        <v>1864</v>
      </c>
      <c r="O217" s="15" t="s">
        <v>1421</v>
      </c>
      <c r="P217" s="19"/>
      <c r="Q217" s="19"/>
      <c r="R217" s="15">
        <v>36153779</v>
      </c>
      <c r="S217" s="15">
        <v>1</v>
      </c>
      <c r="T217" s="17">
        <v>6920</v>
      </c>
      <c r="U217" s="17">
        <f t="shared" si="3"/>
        <v>6920</v>
      </c>
      <c r="V217" s="15" t="s">
        <v>1138</v>
      </c>
      <c r="W217" s="15" t="s">
        <v>1138</v>
      </c>
      <c r="X217" s="15" t="s">
        <v>1138</v>
      </c>
      <c r="Y217" s="15" t="s">
        <v>1135</v>
      </c>
      <c r="Z217" s="15" t="s">
        <v>1139</v>
      </c>
      <c r="AA217" s="15" t="s">
        <v>2153</v>
      </c>
      <c r="AB217" s="13">
        <v>46073</v>
      </c>
      <c r="AC217" s="14"/>
    </row>
    <row r="218" spans="1:29" x14ac:dyDescent="0.35">
      <c r="A218" s="15">
        <v>217</v>
      </c>
      <c r="B218" s="15" t="s">
        <v>1860</v>
      </c>
      <c r="C218" s="16" t="s">
        <v>1861</v>
      </c>
      <c r="D218" s="15" t="s">
        <v>904</v>
      </c>
      <c r="E218" s="13">
        <v>45939</v>
      </c>
      <c r="F218" s="15" t="s">
        <v>1862</v>
      </c>
      <c r="G218" s="13">
        <v>45939</v>
      </c>
      <c r="H218" s="15" t="s">
        <v>56</v>
      </c>
      <c r="I218" s="15" t="s">
        <v>1134</v>
      </c>
      <c r="J218" s="19"/>
      <c r="K218" s="15" t="s">
        <v>1135</v>
      </c>
      <c r="L218" s="15" t="s">
        <v>1135</v>
      </c>
      <c r="M218" s="18" t="s">
        <v>1865</v>
      </c>
      <c r="N218" s="18" t="s">
        <v>1864</v>
      </c>
      <c r="O218" s="15" t="s">
        <v>365</v>
      </c>
      <c r="P218" s="19"/>
      <c r="Q218" s="19"/>
      <c r="R218" s="15">
        <v>36406027</v>
      </c>
      <c r="S218" s="15">
        <v>1</v>
      </c>
      <c r="T218" s="17">
        <v>43750</v>
      </c>
      <c r="U218" s="17">
        <f t="shared" si="3"/>
        <v>43750</v>
      </c>
      <c r="V218" s="15" t="s">
        <v>1138</v>
      </c>
      <c r="W218" s="15" t="s">
        <v>1138</v>
      </c>
      <c r="X218" s="15" t="s">
        <v>1138</v>
      </c>
      <c r="Y218" s="15" t="s">
        <v>1135</v>
      </c>
      <c r="Z218" s="15" t="s">
        <v>1139</v>
      </c>
      <c r="AA218" s="15" t="s">
        <v>2153</v>
      </c>
      <c r="AB218" s="13">
        <v>46073</v>
      </c>
      <c r="AC218" s="14"/>
    </row>
    <row r="219" spans="1:29" x14ac:dyDescent="0.35">
      <c r="A219" s="15">
        <v>218</v>
      </c>
      <c r="B219" s="15" t="s">
        <v>1866</v>
      </c>
      <c r="C219" s="16" t="s">
        <v>1867</v>
      </c>
      <c r="D219" s="15" t="s">
        <v>886</v>
      </c>
      <c r="E219" s="13">
        <v>45939</v>
      </c>
      <c r="F219" s="15" t="s">
        <v>1868</v>
      </c>
      <c r="G219" s="15" t="s">
        <v>1135</v>
      </c>
      <c r="H219" s="15" t="s">
        <v>56</v>
      </c>
      <c r="I219" s="18" t="s">
        <v>1134</v>
      </c>
      <c r="J219" s="19"/>
      <c r="K219" s="15" t="s">
        <v>1135</v>
      </c>
      <c r="L219" s="15" t="s">
        <v>1135</v>
      </c>
      <c r="M219" s="15" t="s">
        <v>1869</v>
      </c>
      <c r="N219" s="15" t="s">
        <v>1135</v>
      </c>
      <c r="O219" s="15" t="s">
        <v>1617</v>
      </c>
      <c r="P219" s="19"/>
      <c r="Q219" s="19"/>
      <c r="R219" s="15">
        <v>34711270</v>
      </c>
      <c r="S219" s="15">
        <v>1</v>
      </c>
      <c r="T219" s="17">
        <v>6920</v>
      </c>
      <c r="U219" s="17">
        <f t="shared" si="3"/>
        <v>6920</v>
      </c>
      <c r="V219" s="15" t="s">
        <v>1138</v>
      </c>
      <c r="W219" s="15" t="s">
        <v>1138</v>
      </c>
      <c r="X219" s="15" t="s">
        <v>1138</v>
      </c>
      <c r="Y219" s="15" t="s">
        <v>1135</v>
      </c>
      <c r="Z219" s="15" t="s">
        <v>1139</v>
      </c>
      <c r="AA219" s="15" t="s">
        <v>2153</v>
      </c>
      <c r="AB219" s="13">
        <v>46073</v>
      </c>
      <c r="AC219" s="14"/>
    </row>
    <row r="220" spans="1:29" x14ac:dyDescent="0.35">
      <c r="A220" s="15">
        <v>219</v>
      </c>
      <c r="B220" s="15" t="s">
        <v>1866</v>
      </c>
      <c r="C220" s="16" t="s">
        <v>1867</v>
      </c>
      <c r="D220" s="15" t="s">
        <v>886</v>
      </c>
      <c r="E220" s="13">
        <v>45939</v>
      </c>
      <c r="F220" s="15" t="s">
        <v>1868</v>
      </c>
      <c r="G220" s="15" t="s">
        <v>1135</v>
      </c>
      <c r="H220" s="15" t="s">
        <v>56</v>
      </c>
      <c r="I220" s="18" t="s">
        <v>1134</v>
      </c>
      <c r="J220" s="19"/>
      <c r="K220" s="15" t="s">
        <v>1135</v>
      </c>
      <c r="L220" s="15" t="s">
        <v>1135</v>
      </c>
      <c r="M220" s="15" t="s">
        <v>1870</v>
      </c>
      <c r="N220" s="15" t="s">
        <v>1135</v>
      </c>
      <c r="O220" s="15" t="s">
        <v>103</v>
      </c>
      <c r="P220" s="19"/>
      <c r="Q220" s="19"/>
      <c r="R220" s="15">
        <v>35382368</v>
      </c>
      <c r="S220" s="15">
        <v>1</v>
      </c>
      <c r="T220" s="17">
        <v>3571</v>
      </c>
      <c r="U220" s="17">
        <f t="shared" si="3"/>
        <v>3571</v>
      </c>
      <c r="V220" s="15" t="s">
        <v>1138</v>
      </c>
      <c r="W220" s="15" t="s">
        <v>1138</v>
      </c>
      <c r="X220" s="15" t="s">
        <v>1138</v>
      </c>
      <c r="Y220" s="15" t="s">
        <v>1135</v>
      </c>
      <c r="Z220" s="15" t="s">
        <v>1139</v>
      </c>
      <c r="AA220" s="15" t="s">
        <v>2153</v>
      </c>
      <c r="AB220" s="13">
        <v>46073</v>
      </c>
      <c r="AC220" s="14"/>
    </row>
    <row r="221" spans="1:29" x14ac:dyDescent="0.35">
      <c r="A221" s="15">
        <v>220</v>
      </c>
      <c r="B221" s="15" t="s">
        <v>1866</v>
      </c>
      <c r="C221" s="16" t="s">
        <v>1867</v>
      </c>
      <c r="D221" s="15" t="s">
        <v>886</v>
      </c>
      <c r="E221" s="13">
        <v>45939</v>
      </c>
      <c r="F221" s="15" t="s">
        <v>1868</v>
      </c>
      <c r="G221" s="15" t="s">
        <v>1135</v>
      </c>
      <c r="H221" s="15" t="s">
        <v>56</v>
      </c>
      <c r="I221" s="18" t="s">
        <v>1134</v>
      </c>
      <c r="J221" s="19"/>
      <c r="K221" s="15" t="s">
        <v>1135</v>
      </c>
      <c r="L221" s="15" t="s">
        <v>1135</v>
      </c>
      <c r="M221" s="15" t="s">
        <v>1871</v>
      </c>
      <c r="N221" s="15" t="s">
        <v>1135</v>
      </c>
      <c r="O221" s="15" t="s">
        <v>1872</v>
      </c>
      <c r="P221" s="19"/>
      <c r="Q221" s="19"/>
      <c r="R221" s="15">
        <v>34549398</v>
      </c>
      <c r="S221" s="15">
        <v>1</v>
      </c>
      <c r="T221" s="17">
        <v>0</v>
      </c>
      <c r="U221" s="17">
        <f t="shared" si="3"/>
        <v>0</v>
      </c>
      <c r="V221" s="15" t="s">
        <v>1138</v>
      </c>
      <c r="W221" s="15" t="s">
        <v>1138</v>
      </c>
      <c r="X221" s="15" t="s">
        <v>1138</v>
      </c>
      <c r="Y221" s="15" t="s">
        <v>2166</v>
      </c>
      <c r="Z221" s="15" t="s">
        <v>1139</v>
      </c>
      <c r="AA221" s="15" t="s">
        <v>2153</v>
      </c>
      <c r="AB221" s="13">
        <v>46073</v>
      </c>
      <c r="AC221" s="14"/>
    </row>
    <row r="222" spans="1:29" x14ac:dyDescent="0.35">
      <c r="A222" s="15">
        <v>221</v>
      </c>
      <c r="B222" s="15" t="s">
        <v>1866</v>
      </c>
      <c r="C222" s="16" t="s">
        <v>1867</v>
      </c>
      <c r="D222" s="15" t="s">
        <v>886</v>
      </c>
      <c r="E222" s="13">
        <v>45939</v>
      </c>
      <c r="F222" s="15" t="s">
        <v>1868</v>
      </c>
      <c r="G222" s="15" t="s">
        <v>1135</v>
      </c>
      <c r="H222" s="15" t="s">
        <v>56</v>
      </c>
      <c r="I222" s="18" t="s">
        <v>1134</v>
      </c>
      <c r="J222" s="19"/>
      <c r="K222" s="15" t="s">
        <v>1135</v>
      </c>
      <c r="L222" s="15" t="s">
        <v>1135</v>
      </c>
      <c r="M222" s="15" t="s">
        <v>1873</v>
      </c>
      <c r="N222" s="15" t="s">
        <v>1135</v>
      </c>
      <c r="O222" s="15" t="s">
        <v>1490</v>
      </c>
      <c r="P222" s="19"/>
      <c r="Q222" s="19"/>
      <c r="R222" s="15">
        <v>36173105</v>
      </c>
      <c r="S222" s="15">
        <v>1</v>
      </c>
      <c r="T222" s="17">
        <v>6920</v>
      </c>
      <c r="U222" s="17">
        <f t="shared" si="3"/>
        <v>6920</v>
      </c>
      <c r="V222" s="15" t="s">
        <v>1138</v>
      </c>
      <c r="W222" s="15" t="s">
        <v>1138</v>
      </c>
      <c r="X222" s="15" t="s">
        <v>1138</v>
      </c>
      <c r="Y222" s="15" t="s">
        <v>1135</v>
      </c>
      <c r="Z222" s="15" t="s">
        <v>1139</v>
      </c>
      <c r="AA222" s="15" t="s">
        <v>2153</v>
      </c>
      <c r="AB222" s="13">
        <v>46073</v>
      </c>
      <c r="AC222" s="14"/>
    </row>
    <row r="223" spans="1:29" x14ac:dyDescent="0.35">
      <c r="A223" s="15">
        <v>222</v>
      </c>
      <c r="B223" s="15" t="s">
        <v>1866</v>
      </c>
      <c r="C223" s="16" t="s">
        <v>1867</v>
      </c>
      <c r="D223" s="15" t="s">
        <v>886</v>
      </c>
      <c r="E223" s="13">
        <v>45939</v>
      </c>
      <c r="F223" s="15" t="s">
        <v>1868</v>
      </c>
      <c r="G223" s="15" t="s">
        <v>1135</v>
      </c>
      <c r="H223" s="15" t="s">
        <v>56</v>
      </c>
      <c r="I223" s="18" t="s">
        <v>1134</v>
      </c>
      <c r="J223" s="19"/>
      <c r="K223" s="15" t="s">
        <v>1135</v>
      </c>
      <c r="L223" s="15" t="s">
        <v>1135</v>
      </c>
      <c r="M223" s="15" t="s">
        <v>1874</v>
      </c>
      <c r="N223" s="15" t="s">
        <v>1135</v>
      </c>
      <c r="O223" s="15" t="s">
        <v>1856</v>
      </c>
      <c r="P223" s="19"/>
      <c r="Q223" s="19"/>
      <c r="R223" s="15">
        <v>35167206</v>
      </c>
      <c r="S223" s="15">
        <v>1</v>
      </c>
      <c r="T223" s="17">
        <v>6920</v>
      </c>
      <c r="U223" s="17">
        <f t="shared" si="3"/>
        <v>6920</v>
      </c>
      <c r="V223" s="15" t="s">
        <v>1138</v>
      </c>
      <c r="W223" s="15" t="s">
        <v>1138</v>
      </c>
      <c r="X223" s="15" t="s">
        <v>1138</v>
      </c>
      <c r="Y223" s="15" t="s">
        <v>1135</v>
      </c>
      <c r="Z223" s="15" t="s">
        <v>1139</v>
      </c>
      <c r="AA223" s="15" t="s">
        <v>2153</v>
      </c>
      <c r="AB223" s="13">
        <v>46073</v>
      </c>
      <c r="AC223" s="14"/>
    </row>
    <row r="224" spans="1:29" x14ac:dyDescent="0.35">
      <c r="A224" s="15">
        <v>223</v>
      </c>
      <c r="B224" s="15" t="s">
        <v>1866</v>
      </c>
      <c r="C224" s="16" t="s">
        <v>1867</v>
      </c>
      <c r="D224" s="15" t="s">
        <v>886</v>
      </c>
      <c r="E224" s="13">
        <v>45939</v>
      </c>
      <c r="F224" s="15" t="s">
        <v>1868</v>
      </c>
      <c r="G224" s="15" t="s">
        <v>1135</v>
      </c>
      <c r="H224" s="15" t="s">
        <v>56</v>
      </c>
      <c r="I224" s="18" t="s">
        <v>1134</v>
      </c>
      <c r="J224" s="19"/>
      <c r="K224" s="15" t="s">
        <v>1135</v>
      </c>
      <c r="L224" s="15" t="s">
        <v>1135</v>
      </c>
      <c r="M224" s="15" t="s">
        <v>1875</v>
      </c>
      <c r="N224" s="15" t="s">
        <v>1135</v>
      </c>
      <c r="O224" s="15" t="s">
        <v>1279</v>
      </c>
      <c r="P224" s="19"/>
      <c r="Q224" s="19"/>
      <c r="R224" s="15">
        <v>34241754</v>
      </c>
      <c r="S224" s="15">
        <v>1</v>
      </c>
      <c r="T224" s="17">
        <v>38933.129999999997</v>
      </c>
      <c r="U224" s="17">
        <f t="shared" si="3"/>
        <v>38933.129999999997</v>
      </c>
      <c r="V224" s="15" t="s">
        <v>1138</v>
      </c>
      <c r="W224" s="15" t="s">
        <v>1138</v>
      </c>
      <c r="X224" s="15" t="s">
        <v>1138</v>
      </c>
      <c r="Y224" s="15" t="s">
        <v>1135</v>
      </c>
      <c r="Z224" s="15" t="s">
        <v>1139</v>
      </c>
      <c r="AA224" s="15" t="s">
        <v>2153</v>
      </c>
      <c r="AB224" s="13">
        <v>46073</v>
      </c>
      <c r="AC224" s="14"/>
    </row>
    <row r="225" spans="1:29" x14ac:dyDescent="0.35">
      <c r="A225" s="15">
        <v>224</v>
      </c>
      <c r="B225" s="15" t="s">
        <v>1866</v>
      </c>
      <c r="C225" s="16" t="s">
        <v>1867</v>
      </c>
      <c r="D225" s="15" t="s">
        <v>886</v>
      </c>
      <c r="E225" s="13">
        <v>45939</v>
      </c>
      <c r="F225" s="15" t="s">
        <v>1868</v>
      </c>
      <c r="G225" s="15" t="s">
        <v>1135</v>
      </c>
      <c r="H225" s="15" t="s">
        <v>56</v>
      </c>
      <c r="I225" s="18" t="s">
        <v>1134</v>
      </c>
      <c r="J225" s="19"/>
      <c r="K225" s="15" t="s">
        <v>1135</v>
      </c>
      <c r="L225" s="15" t="s">
        <v>1135</v>
      </c>
      <c r="M225" s="18" t="s">
        <v>1876</v>
      </c>
      <c r="N225" s="15" t="s">
        <v>1135</v>
      </c>
      <c r="O225" s="15" t="s">
        <v>1518</v>
      </c>
      <c r="P225" s="19"/>
      <c r="Q225" s="19"/>
      <c r="R225" s="15">
        <v>36285302</v>
      </c>
      <c r="S225" s="15">
        <v>1</v>
      </c>
      <c r="T225" s="17">
        <v>41072</v>
      </c>
      <c r="U225" s="17">
        <f t="shared" si="3"/>
        <v>41072</v>
      </c>
      <c r="V225" s="15" t="s">
        <v>1138</v>
      </c>
      <c r="W225" s="15" t="s">
        <v>1138</v>
      </c>
      <c r="X225" s="15" t="s">
        <v>1138</v>
      </c>
      <c r="Y225" s="15" t="s">
        <v>1135</v>
      </c>
      <c r="Z225" s="15" t="s">
        <v>1139</v>
      </c>
      <c r="AA225" s="15" t="s">
        <v>2153</v>
      </c>
      <c r="AB225" s="13">
        <v>46073</v>
      </c>
      <c r="AC225" s="14"/>
    </row>
    <row r="226" spans="1:29" x14ac:dyDescent="0.35">
      <c r="A226" s="15">
        <v>225</v>
      </c>
      <c r="B226" s="15" t="s">
        <v>1877</v>
      </c>
      <c r="C226" s="16" t="s">
        <v>1878</v>
      </c>
      <c r="D226" s="15" t="s">
        <v>886</v>
      </c>
      <c r="E226" s="13">
        <v>45939</v>
      </c>
      <c r="F226" s="15" t="s">
        <v>1868</v>
      </c>
      <c r="G226" s="13">
        <v>45939</v>
      </c>
      <c r="H226" s="15" t="s">
        <v>56</v>
      </c>
      <c r="I226" s="15" t="s">
        <v>1134</v>
      </c>
      <c r="J226" s="19"/>
      <c r="K226" s="15" t="s">
        <v>1135</v>
      </c>
      <c r="L226" s="15" t="s">
        <v>1135</v>
      </c>
      <c r="M226" s="18" t="s">
        <v>1879</v>
      </c>
      <c r="N226" s="18" t="s">
        <v>1880</v>
      </c>
      <c r="O226" s="15" t="s">
        <v>1204</v>
      </c>
      <c r="P226" s="19"/>
      <c r="Q226" s="19"/>
      <c r="R226" s="15">
        <v>35447549</v>
      </c>
      <c r="S226" s="15">
        <v>1</v>
      </c>
      <c r="T226" s="17">
        <v>38933.129999999997</v>
      </c>
      <c r="U226" s="17">
        <f t="shared" si="3"/>
        <v>38933.129999999997</v>
      </c>
      <c r="V226" s="15" t="s">
        <v>1138</v>
      </c>
      <c r="W226" s="15" t="s">
        <v>1138</v>
      </c>
      <c r="X226" s="15" t="s">
        <v>1138</v>
      </c>
      <c r="Y226" s="15" t="s">
        <v>1135</v>
      </c>
      <c r="Z226" s="15" t="s">
        <v>1139</v>
      </c>
      <c r="AA226" s="15" t="s">
        <v>2153</v>
      </c>
      <c r="AB226" s="13">
        <v>46073</v>
      </c>
      <c r="AC226" s="14"/>
    </row>
    <row r="227" spans="1:29" x14ac:dyDescent="0.35">
      <c r="A227" s="15">
        <v>226</v>
      </c>
      <c r="B227" s="15" t="s">
        <v>1881</v>
      </c>
      <c r="C227" s="16" t="s">
        <v>1882</v>
      </c>
      <c r="D227" s="15" t="s">
        <v>919</v>
      </c>
      <c r="E227" s="13">
        <v>45939</v>
      </c>
      <c r="F227" s="15" t="s">
        <v>1883</v>
      </c>
      <c r="G227" s="13">
        <v>45939</v>
      </c>
      <c r="H227" s="15" t="s">
        <v>56</v>
      </c>
      <c r="I227" s="18" t="s">
        <v>1134</v>
      </c>
      <c r="J227" s="19"/>
      <c r="K227" s="15" t="s">
        <v>1135</v>
      </c>
      <c r="L227" s="15" t="s">
        <v>1135</v>
      </c>
      <c r="M227" s="15" t="s">
        <v>1884</v>
      </c>
      <c r="N227" s="15" t="s">
        <v>1135</v>
      </c>
      <c r="O227" s="15" t="s">
        <v>1885</v>
      </c>
      <c r="P227" s="19"/>
      <c r="Q227" s="19"/>
      <c r="R227" s="15">
        <v>33273318</v>
      </c>
      <c r="S227" s="15">
        <v>1</v>
      </c>
      <c r="T227" s="17">
        <v>38933.129999999997</v>
      </c>
      <c r="U227" s="17">
        <f t="shared" si="3"/>
        <v>38933.129999999997</v>
      </c>
      <c r="V227" s="15" t="s">
        <v>1138</v>
      </c>
      <c r="W227" s="15" t="s">
        <v>1138</v>
      </c>
      <c r="X227" s="15" t="s">
        <v>1138</v>
      </c>
      <c r="Y227" s="15" t="s">
        <v>1135</v>
      </c>
      <c r="Z227" s="15" t="s">
        <v>1139</v>
      </c>
      <c r="AA227" s="15" t="s">
        <v>2153</v>
      </c>
      <c r="AB227" s="13">
        <v>46073</v>
      </c>
      <c r="AC227" s="14"/>
    </row>
    <row r="228" spans="1:29" x14ac:dyDescent="0.35">
      <c r="A228" s="15">
        <v>227</v>
      </c>
      <c r="B228" s="15" t="s">
        <v>1886</v>
      </c>
      <c r="C228" s="16" t="s">
        <v>1887</v>
      </c>
      <c r="D228" s="15" t="s">
        <v>1888</v>
      </c>
      <c r="E228" s="13">
        <v>45939</v>
      </c>
      <c r="F228" s="15" t="s">
        <v>1889</v>
      </c>
      <c r="G228" s="13">
        <v>45939</v>
      </c>
      <c r="H228" s="15" t="s">
        <v>56</v>
      </c>
      <c r="I228" s="15" t="s">
        <v>1134</v>
      </c>
      <c r="J228" s="19"/>
      <c r="K228" s="15" t="s">
        <v>1135</v>
      </c>
      <c r="L228" s="15" t="s">
        <v>1135</v>
      </c>
      <c r="M228" s="18" t="s">
        <v>1890</v>
      </c>
      <c r="N228" s="18" t="s">
        <v>1891</v>
      </c>
      <c r="O228" s="15" t="s">
        <v>1472</v>
      </c>
      <c r="P228" s="19"/>
      <c r="Q228" s="19"/>
      <c r="R228" s="15">
        <v>36261945</v>
      </c>
      <c r="S228" s="15">
        <v>1</v>
      </c>
      <c r="T228" s="17">
        <v>6920</v>
      </c>
      <c r="U228" s="17">
        <f t="shared" si="3"/>
        <v>6920</v>
      </c>
      <c r="V228" s="15" t="s">
        <v>1138</v>
      </c>
      <c r="W228" s="15" t="s">
        <v>1138</v>
      </c>
      <c r="X228" s="15" t="s">
        <v>1138</v>
      </c>
      <c r="Y228" s="15" t="s">
        <v>1135</v>
      </c>
      <c r="Z228" s="15" t="s">
        <v>1139</v>
      </c>
      <c r="AA228" s="15" t="s">
        <v>2154</v>
      </c>
      <c r="AB228" s="13">
        <v>46073</v>
      </c>
      <c r="AC228" s="14"/>
    </row>
    <row r="229" spans="1:29" x14ac:dyDescent="0.35">
      <c r="A229" s="15">
        <v>228</v>
      </c>
      <c r="B229" s="15" t="s">
        <v>1892</v>
      </c>
      <c r="C229" s="16" t="s">
        <v>1893</v>
      </c>
      <c r="D229" s="15" t="s">
        <v>921</v>
      </c>
      <c r="E229" s="13">
        <v>45939</v>
      </c>
      <c r="F229" s="15" t="s">
        <v>1894</v>
      </c>
      <c r="G229" s="13">
        <v>45939</v>
      </c>
      <c r="H229" s="15" t="s">
        <v>56</v>
      </c>
      <c r="I229" s="18" t="s">
        <v>1134</v>
      </c>
      <c r="J229" s="19"/>
      <c r="K229" s="15" t="s">
        <v>1135</v>
      </c>
      <c r="L229" s="15" t="s">
        <v>1135</v>
      </c>
      <c r="M229" s="15" t="s">
        <v>1895</v>
      </c>
      <c r="N229" s="18" t="s">
        <v>1896</v>
      </c>
      <c r="O229" s="15" t="s">
        <v>1313</v>
      </c>
      <c r="P229" s="19"/>
      <c r="Q229" s="19"/>
      <c r="R229" s="15">
        <v>35469233</v>
      </c>
      <c r="S229" s="15">
        <v>1</v>
      </c>
      <c r="T229" s="17">
        <v>38933.129999999997</v>
      </c>
      <c r="U229" s="17">
        <f t="shared" si="3"/>
        <v>38933.129999999997</v>
      </c>
      <c r="V229" s="15" t="s">
        <v>1138</v>
      </c>
      <c r="W229" s="15" t="s">
        <v>1138</v>
      </c>
      <c r="X229" s="15" t="s">
        <v>1138</v>
      </c>
      <c r="Y229" s="15" t="s">
        <v>1135</v>
      </c>
      <c r="Z229" s="15" t="s">
        <v>1139</v>
      </c>
      <c r="AA229" s="15" t="s">
        <v>2153</v>
      </c>
      <c r="AB229" s="13">
        <v>46073</v>
      </c>
      <c r="AC229" s="14"/>
    </row>
    <row r="230" spans="1:29" x14ac:dyDescent="0.35">
      <c r="A230" s="15">
        <v>229</v>
      </c>
      <c r="B230" s="15" t="s">
        <v>1892</v>
      </c>
      <c r="C230" s="16" t="s">
        <v>1893</v>
      </c>
      <c r="D230" s="15" t="s">
        <v>921</v>
      </c>
      <c r="E230" s="13">
        <v>45939</v>
      </c>
      <c r="F230" s="15" t="s">
        <v>1894</v>
      </c>
      <c r="G230" s="13">
        <v>45939</v>
      </c>
      <c r="H230" s="15" t="s">
        <v>56</v>
      </c>
      <c r="I230" s="18" t="s">
        <v>1134</v>
      </c>
      <c r="J230" s="19"/>
      <c r="K230" s="15" t="s">
        <v>1135</v>
      </c>
      <c r="L230" s="15" t="s">
        <v>1135</v>
      </c>
      <c r="M230" s="15" t="s">
        <v>1895</v>
      </c>
      <c r="N230" s="18" t="s">
        <v>1896</v>
      </c>
      <c r="O230" s="15" t="s">
        <v>1213</v>
      </c>
      <c r="P230" s="19"/>
      <c r="Q230" s="19"/>
      <c r="R230" s="15">
        <v>36317687</v>
      </c>
      <c r="S230" s="15">
        <v>1</v>
      </c>
      <c r="T230" s="17">
        <v>6920</v>
      </c>
      <c r="U230" s="17">
        <f t="shared" si="3"/>
        <v>6920</v>
      </c>
      <c r="V230" s="15" t="s">
        <v>1138</v>
      </c>
      <c r="W230" s="15" t="s">
        <v>1138</v>
      </c>
      <c r="X230" s="15" t="s">
        <v>1138</v>
      </c>
      <c r="Y230" s="15" t="s">
        <v>1135</v>
      </c>
      <c r="Z230" s="15" t="s">
        <v>1139</v>
      </c>
      <c r="AA230" s="15" t="s">
        <v>2153</v>
      </c>
      <c r="AB230" s="13">
        <v>46073</v>
      </c>
      <c r="AC230" s="14"/>
    </row>
    <row r="231" spans="1:29" x14ac:dyDescent="0.35">
      <c r="A231" s="15">
        <v>230</v>
      </c>
      <c r="B231" s="15" t="s">
        <v>1897</v>
      </c>
      <c r="C231" s="16" t="s">
        <v>1898</v>
      </c>
      <c r="D231" s="15" t="s">
        <v>923</v>
      </c>
      <c r="E231" s="13">
        <v>45939</v>
      </c>
      <c r="F231" s="15" t="s">
        <v>1899</v>
      </c>
      <c r="G231" s="13">
        <v>45939</v>
      </c>
      <c r="H231" s="15" t="s">
        <v>56</v>
      </c>
      <c r="I231" s="15" t="s">
        <v>1134</v>
      </c>
      <c r="J231" s="19"/>
      <c r="K231" s="15" t="s">
        <v>1135</v>
      </c>
      <c r="L231" s="15" t="s">
        <v>1135</v>
      </c>
      <c r="M231" s="18" t="s">
        <v>1900</v>
      </c>
      <c r="N231" s="18" t="s">
        <v>1901</v>
      </c>
      <c r="O231" s="15" t="s">
        <v>1703</v>
      </c>
      <c r="P231" s="19"/>
      <c r="Q231" s="19"/>
      <c r="R231" s="15">
        <v>36317681</v>
      </c>
      <c r="S231" s="15">
        <v>1</v>
      </c>
      <c r="T231" s="17">
        <v>6920</v>
      </c>
      <c r="U231" s="17">
        <f t="shared" si="3"/>
        <v>6920</v>
      </c>
      <c r="V231" s="15" t="s">
        <v>1138</v>
      </c>
      <c r="W231" s="15" t="s">
        <v>1138</v>
      </c>
      <c r="X231" s="15" t="s">
        <v>1138</v>
      </c>
      <c r="Y231" s="15" t="s">
        <v>1135</v>
      </c>
      <c r="Z231" s="15" t="s">
        <v>1139</v>
      </c>
      <c r="AA231" s="15" t="s">
        <v>2153</v>
      </c>
      <c r="AB231" s="13">
        <v>46073</v>
      </c>
      <c r="AC231" s="14"/>
    </row>
    <row r="232" spans="1:29" x14ac:dyDescent="0.35">
      <c r="A232" s="15">
        <v>231</v>
      </c>
      <c r="B232" s="15" t="s">
        <v>1902</v>
      </c>
      <c r="C232" s="16" t="s">
        <v>1903</v>
      </c>
      <c r="D232" s="15" t="s">
        <v>927</v>
      </c>
      <c r="E232" s="13">
        <v>45939</v>
      </c>
      <c r="F232" s="15" t="s">
        <v>1904</v>
      </c>
      <c r="G232" s="13">
        <v>45939</v>
      </c>
      <c r="H232" s="15" t="s">
        <v>56</v>
      </c>
      <c r="I232" s="18" t="s">
        <v>1134</v>
      </c>
      <c r="J232" s="19"/>
      <c r="K232" s="15" t="s">
        <v>1135</v>
      </c>
      <c r="L232" s="15" t="s">
        <v>1135</v>
      </c>
      <c r="M232" s="15" t="s">
        <v>1905</v>
      </c>
      <c r="N232" s="15" t="s">
        <v>1135</v>
      </c>
      <c r="O232" s="15" t="s">
        <v>1856</v>
      </c>
      <c r="P232" s="19"/>
      <c r="Q232" s="19"/>
      <c r="R232" s="15">
        <v>35136033</v>
      </c>
      <c r="S232" s="15">
        <v>1</v>
      </c>
      <c r="T232" s="17">
        <v>6920</v>
      </c>
      <c r="U232" s="17">
        <f t="shared" si="3"/>
        <v>6920</v>
      </c>
      <c r="V232" s="15" t="s">
        <v>1138</v>
      </c>
      <c r="W232" s="15" t="s">
        <v>1138</v>
      </c>
      <c r="X232" s="15" t="s">
        <v>1138</v>
      </c>
      <c r="Y232" s="15" t="s">
        <v>1135</v>
      </c>
      <c r="Z232" s="15" t="s">
        <v>1139</v>
      </c>
      <c r="AA232" s="15" t="s">
        <v>2153</v>
      </c>
      <c r="AB232" s="13">
        <v>46073</v>
      </c>
      <c r="AC232" s="14"/>
    </row>
    <row r="233" spans="1:29" x14ac:dyDescent="0.35">
      <c r="A233" s="15">
        <v>232</v>
      </c>
      <c r="B233" s="15" t="s">
        <v>1902</v>
      </c>
      <c r="C233" s="16" t="s">
        <v>1903</v>
      </c>
      <c r="D233" s="15" t="s">
        <v>927</v>
      </c>
      <c r="E233" s="13">
        <v>45939</v>
      </c>
      <c r="F233" s="15" t="s">
        <v>1904</v>
      </c>
      <c r="G233" s="13">
        <v>45939</v>
      </c>
      <c r="H233" s="15" t="s">
        <v>56</v>
      </c>
      <c r="I233" s="18" t="s">
        <v>1134</v>
      </c>
      <c r="J233" s="19"/>
      <c r="K233" s="15" t="s">
        <v>1135</v>
      </c>
      <c r="L233" s="15" t="s">
        <v>1135</v>
      </c>
      <c r="M233" s="18" t="s">
        <v>1906</v>
      </c>
      <c r="N233" s="15" t="s">
        <v>1135</v>
      </c>
      <c r="O233" s="15" t="s">
        <v>1414</v>
      </c>
      <c r="P233" s="19"/>
      <c r="Q233" s="19"/>
      <c r="R233" s="15">
        <v>36317714</v>
      </c>
      <c r="S233" s="15">
        <v>1</v>
      </c>
      <c r="T233" s="17">
        <v>6920</v>
      </c>
      <c r="U233" s="17">
        <f t="shared" si="3"/>
        <v>6920</v>
      </c>
      <c r="V233" s="15" t="s">
        <v>1138</v>
      </c>
      <c r="W233" s="15" t="s">
        <v>1138</v>
      </c>
      <c r="X233" s="15" t="s">
        <v>1138</v>
      </c>
      <c r="Y233" s="15" t="s">
        <v>1135</v>
      </c>
      <c r="Z233" s="15" t="s">
        <v>1139</v>
      </c>
      <c r="AA233" s="15" t="s">
        <v>2153</v>
      </c>
      <c r="AB233" s="13">
        <v>46073</v>
      </c>
      <c r="AC233" s="14"/>
    </row>
    <row r="234" spans="1:29" x14ac:dyDescent="0.35">
      <c r="A234" s="15">
        <v>233</v>
      </c>
      <c r="B234" s="15" t="s">
        <v>1907</v>
      </c>
      <c r="C234" s="16" t="s">
        <v>1908</v>
      </c>
      <c r="D234" s="15" t="s">
        <v>931</v>
      </c>
      <c r="E234" s="13">
        <v>45941</v>
      </c>
      <c r="F234" s="15" t="s">
        <v>1909</v>
      </c>
      <c r="G234" s="13">
        <v>45941</v>
      </c>
      <c r="H234" s="15" t="s">
        <v>56</v>
      </c>
      <c r="I234" s="18" t="s">
        <v>1134</v>
      </c>
      <c r="J234" s="19"/>
      <c r="K234" s="15" t="s">
        <v>1135</v>
      </c>
      <c r="L234" s="15" t="s">
        <v>1135</v>
      </c>
      <c r="M234" s="18" t="s">
        <v>1910</v>
      </c>
      <c r="N234" s="18" t="s">
        <v>1911</v>
      </c>
      <c r="O234" s="15" t="s">
        <v>1778</v>
      </c>
      <c r="P234" s="19"/>
      <c r="Q234" s="19"/>
      <c r="R234" s="15">
        <v>36262013</v>
      </c>
      <c r="S234" s="15">
        <v>1</v>
      </c>
      <c r="T234" s="17">
        <v>6920</v>
      </c>
      <c r="U234" s="17">
        <f t="shared" si="3"/>
        <v>6920</v>
      </c>
      <c r="V234" s="15" t="s">
        <v>1138</v>
      </c>
      <c r="W234" s="15" t="s">
        <v>1138</v>
      </c>
      <c r="X234" s="15" t="s">
        <v>1138</v>
      </c>
      <c r="Y234" s="15" t="s">
        <v>1135</v>
      </c>
      <c r="Z234" s="15" t="s">
        <v>1139</v>
      </c>
      <c r="AA234" s="15" t="s">
        <v>2153</v>
      </c>
      <c r="AB234" s="13">
        <v>46073</v>
      </c>
      <c r="AC234" s="14"/>
    </row>
    <row r="235" spans="1:29" x14ac:dyDescent="0.35">
      <c r="A235" s="15">
        <v>234</v>
      </c>
      <c r="B235" s="15" t="s">
        <v>1912</v>
      </c>
      <c r="C235" s="16" t="s">
        <v>1913</v>
      </c>
      <c r="D235" s="15" t="s">
        <v>934</v>
      </c>
      <c r="E235" s="13">
        <v>45943</v>
      </c>
      <c r="F235" s="15" t="s">
        <v>1914</v>
      </c>
      <c r="G235" s="13">
        <v>45943</v>
      </c>
      <c r="H235" s="15" t="s">
        <v>56</v>
      </c>
      <c r="I235" s="15" t="s">
        <v>1134</v>
      </c>
      <c r="J235" s="19"/>
      <c r="K235" s="15" t="s">
        <v>1135</v>
      </c>
      <c r="L235" s="15" t="s">
        <v>1135</v>
      </c>
      <c r="M235" s="18" t="s">
        <v>1915</v>
      </c>
      <c r="N235" s="18" t="s">
        <v>1916</v>
      </c>
      <c r="O235" s="15" t="s">
        <v>1421</v>
      </c>
      <c r="P235" s="19"/>
      <c r="Q235" s="19"/>
      <c r="R235" s="15">
        <v>36978252</v>
      </c>
      <c r="S235" s="15">
        <v>1</v>
      </c>
      <c r="T235" s="17">
        <v>6920</v>
      </c>
      <c r="U235" s="17">
        <f t="shared" si="3"/>
        <v>6920</v>
      </c>
      <c r="V235" s="15" t="s">
        <v>1138</v>
      </c>
      <c r="W235" s="15" t="s">
        <v>1138</v>
      </c>
      <c r="X235" s="15" t="s">
        <v>1138</v>
      </c>
      <c r="Y235" s="15" t="s">
        <v>1135</v>
      </c>
      <c r="Z235" s="15" t="s">
        <v>1139</v>
      </c>
      <c r="AA235" s="15" t="s">
        <v>2153</v>
      </c>
      <c r="AB235" s="13">
        <v>46073</v>
      </c>
      <c r="AC235" s="14"/>
    </row>
    <row r="236" spans="1:29" x14ac:dyDescent="0.35">
      <c r="A236" s="15">
        <v>235</v>
      </c>
      <c r="B236" s="15" t="s">
        <v>1917</v>
      </c>
      <c r="C236" s="16" t="s">
        <v>1918</v>
      </c>
      <c r="D236" s="15" t="s">
        <v>936</v>
      </c>
      <c r="E236" s="13">
        <v>45943</v>
      </c>
      <c r="F236" s="15" t="s">
        <v>1919</v>
      </c>
      <c r="G236" s="13">
        <v>45943</v>
      </c>
      <c r="H236" s="15" t="s">
        <v>56</v>
      </c>
      <c r="I236" s="18" t="s">
        <v>1134</v>
      </c>
      <c r="J236" s="19"/>
      <c r="K236" s="15" t="s">
        <v>1135</v>
      </c>
      <c r="L236" s="15" t="s">
        <v>1135</v>
      </c>
      <c r="M236" s="15" t="s">
        <v>1920</v>
      </c>
      <c r="N236" s="18" t="s">
        <v>1921</v>
      </c>
      <c r="O236" s="15" t="s">
        <v>1922</v>
      </c>
      <c r="P236" s="19"/>
      <c r="Q236" s="19"/>
      <c r="R236" s="15">
        <v>33672635</v>
      </c>
      <c r="S236" s="15">
        <v>1</v>
      </c>
      <c r="T236" s="17">
        <v>38933.129999999997</v>
      </c>
      <c r="U236" s="17">
        <f t="shared" si="3"/>
        <v>38933.129999999997</v>
      </c>
      <c r="V236" s="15" t="s">
        <v>1138</v>
      </c>
      <c r="W236" s="15" t="s">
        <v>1138</v>
      </c>
      <c r="X236" s="15" t="s">
        <v>1138</v>
      </c>
      <c r="Y236" s="15" t="s">
        <v>1135</v>
      </c>
      <c r="Z236" s="15" t="s">
        <v>1139</v>
      </c>
      <c r="AA236" s="15" t="s">
        <v>2153</v>
      </c>
      <c r="AB236" s="13">
        <v>46073</v>
      </c>
      <c r="AC236" s="14"/>
    </row>
    <row r="237" spans="1:29" x14ac:dyDescent="0.35">
      <c r="A237" s="15">
        <v>236</v>
      </c>
      <c r="B237" s="15" t="s">
        <v>1917</v>
      </c>
      <c r="C237" s="16" t="s">
        <v>1918</v>
      </c>
      <c r="D237" s="15" t="s">
        <v>936</v>
      </c>
      <c r="E237" s="13">
        <v>45943</v>
      </c>
      <c r="F237" s="15" t="s">
        <v>1919</v>
      </c>
      <c r="G237" s="13">
        <v>45943</v>
      </c>
      <c r="H237" s="15" t="s">
        <v>56</v>
      </c>
      <c r="I237" s="18" t="s">
        <v>1134</v>
      </c>
      <c r="J237" s="19"/>
      <c r="K237" s="15" t="s">
        <v>1135</v>
      </c>
      <c r="L237" s="15" t="s">
        <v>1135</v>
      </c>
      <c r="M237" s="18" t="s">
        <v>1923</v>
      </c>
      <c r="N237" s="18" t="s">
        <v>1921</v>
      </c>
      <c r="O237" s="15" t="s">
        <v>1215</v>
      </c>
      <c r="P237" s="19"/>
      <c r="Q237" s="19"/>
      <c r="R237" s="15">
        <v>36153762</v>
      </c>
      <c r="S237" s="15">
        <v>1</v>
      </c>
      <c r="T237" s="17">
        <v>6920</v>
      </c>
      <c r="U237" s="17">
        <f t="shared" si="3"/>
        <v>6920</v>
      </c>
      <c r="V237" s="15" t="s">
        <v>1138</v>
      </c>
      <c r="W237" s="15" t="s">
        <v>1138</v>
      </c>
      <c r="X237" s="15" t="s">
        <v>1138</v>
      </c>
      <c r="Y237" s="15" t="s">
        <v>1135</v>
      </c>
      <c r="Z237" s="15" t="s">
        <v>1139</v>
      </c>
      <c r="AA237" s="15" t="s">
        <v>2153</v>
      </c>
      <c r="AB237" s="13">
        <v>46073</v>
      </c>
      <c r="AC237" s="14"/>
    </row>
    <row r="238" spans="1:29" x14ac:dyDescent="0.35">
      <c r="A238" s="15">
        <v>237</v>
      </c>
      <c r="B238" s="15" t="s">
        <v>1924</v>
      </c>
      <c r="C238" s="16" t="s">
        <v>1925</v>
      </c>
      <c r="D238" s="15" t="s">
        <v>939</v>
      </c>
      <c r="E238" s="13">
        <v>45944</v>
      </c>
      <c r="F238" s="15" t="s">
        <v>1926</v>
      </c>
      <c r="G238" s="13">
        <v>45944</v>
      </c>
      <c r="H238" s="15" t="s">
        <v>56</v>
      </c>
      <c r="I238" s="18" t="s">
        <v>1134</v>
      </c>
      <c r="J238" s="19"/>
      <c r="K238" s="15" t="s">
        <v>1135</v>
      </c>
      <c r="L238" s="15" t="s">
        <v>1135</v>
      </c>
      <c r="M238" s="18" t="s">
        <v>1927</v>
      </c>
      <c r="N238" s="18" t="s">
        <v>1928</v>
      </c>
      <c r="O238" s="15" t="s">
        <v>1778</v>
      </c>
      <c r="P238" s="19"/>
      <c r="Q238" s="19"/>
      <c r="R238" s="15">
        <v>36262013</v>
      </c>
      <c r="S238" s="15">
        <v>1</v>
      </c>
      <c r="T238" s="17">
        <v>6920</v>
      </c>
      <c r="U238" s="17">
        <f t="shared" si="3"/>
        <v>6920</v>
      </c>
      <c r="V238" s="15" t="s">
        <v>1138</v>
      </c>
      <c r="W238" s="15" t="s">
        <v>1138</v>
      </c>
      <c r="X238" s="15" t="s">
        <v>1138</v>
      </c>
      <c r="Y238" s="15" t="s">
        <v>1135</v>
      </c>
      <c r="Z238" s="15" t="s">
        <v>1139</v>
      </c>
      <c r="AA238" s="15" t="s">
        <v>2153</v>
      </c>
      <c r="AB238" s="13">
        <v>46073</v>
      </c>
      <c r="AC238" s="14"/>
    </row>
    <row r="239" spans="1:29" x14ac:dyDescent="0.35">
      <c r="A239" s="15">
        <v>238</v>
      </c>
      <c r="B239" s="15" t="s">
        <v>1929</v>
      </c>
      <c r="C239" s="16" t="s">
        <v>1930</v>
      </c>
      <c r="D239" s="15" t="s">
        <v>942</v>
      </c>
      <c r="E239" s="13">
        <v>45945</v>
      </c>
      <c r="F239" s="15" t="s">
        <v>1931</v>
      </c>
      <c r="G239" s="13">
        <v>45945</v>
      </c>
      <c r="H239" s="15" t="s">
        <v>56</v>
      </c>
      <c r="I239" s="15" t="s">
        <v>1134</v>
      </c>
      <c r="J239" s="19"/>
      <c r="K239" s="15" t="s">
        <v>1135</v>
      </c>
      <c r="L239" s="15" t="s">
        <v>1135</v>
      </c>
      <c r="M239" s="15" t="s">
        <v>1932</v>
      </c>
      <c r="N239" s="18" t="s">
        <v>1933</v>
      </c>
      <c r="O239" s="15" t="s">
        <v>1279</v>
      </c>
      <c r="P239" s="19"/>
      <c r="Q239" s="19"/>
      <c r="R239" s="15">
        <v>35117583</v>
      </c>
      <c r="S239" s="15">
        <v>1</v>
      </c>
      <c r="T239" s="17">
        <v>38933.129999999997</v>
      </c>
      <c r="U239" s="17">
        <f t="shared" si="3"/>
        <v>38933.129999999997</v>
      </c>
      <c r="V239" s="15" t="s">
        <v>1138</v>
      </c>
      <c r="W239" s="15" t="s">
        <v>1138</v>
      </c>
      <c r="X239" s="15" t="s">
        <v>1138</v>
      </c>
      <c r="Y239" s="15" t="s">
        <v>1135</v>
      </c>
      <c r="Z239" s="15" t="s">
        <v>1139</v>
      </c>
      <c r="AA239" s="15" t="s">
        <v>2153</v>
      </c>
      <c r="AB239" s="13">
        <v>46073</v>
      </c>
      <c r="AC239" s="14"/>
    </row>
    <row r="240" spans="1:29" x14ac:dyDescent="0.35">
      <c r="A240" s="15">
        <v>239</v>
      </c>
      <c r="B240" s="15" t="s">
        <v>1929</v>
      </c>
      <c r="C240" s="16" t="s">
        <v>1930</v>
      </c>
      <c r="D240" s="15" t="s">
        <v>942</v>
      </c>
      <c r="E240" s="13">
        <v>45945</v>
      </c>
      <c r="F240" s="15" t="s">
        <v>1931</v>
      </c>
      <c r="G240" s="13">
        <v>45945</v>
      </c>
      <c r="H240" s="15" t="s">
        <v>56</v>
      </c>
      <c r="I240" s="15" t="s">
        <v>1134</v>
      </c>
      <c r="J240" s="19"/>
      <c r="K240" s="15" t="s">
        <v>1135</v>
      </c>
      <c r="L240" s="15" t="s">
        <v>1135</v>
      </c>
      <c r="M240" s="18" t="s">
        <v>1934</v>
      </c>
      <c r="N240" s="18" t="s">
        <v>1933</v>
      </c>
      <c r="O240" s="15" t="s">
        <v>169</v>
      </c>
      <c r="P240" s="19"/>
      <c r="Q240" s="19"/>
      <c r="R240" s="15">
        <v>35981722</v>
      </c>
      <c r="S240" s="15">
        <v>1</v>
      </c>
      <c r="T240" s="17">
        <v>3571</v>
      </c>
      <c r="U240" s="17">
        <f t="shared" si="3"/>
        <v>3571</v>
      </c>
      <c r="V240" s="15" t="s">
        <v>1138</v>
      </c>
      <c r="W240" s="15" t="s">
        <v>1138</v>
      </c>
      <c r="X240" s="15" t="s">
        <v>1138</v>
      </c>
      <c r="Y240" s="15" t="s">
        <v>1135</v>
      </c>
      <c r="Z240" s="15" t="s">
        <v>1139</v>
      </c>
      <c r="AA240" s="15" t="s">
        <v>2153</v>
      </c>
      <c r="AB240" s="13">
        <v>46073</v>
      </c>
      <c r="AC240" s="14"/>
    </row>
    <row r="241" spans="1:29" x14ac:dyDescent="0.35">
      <c r="A241" s="15">
        <v>240</v>
      </c>
      <c r="B241" s="15" t="s">
        <v>1929</v>
      </c>
      <c r="C241" s="16" t="s">
        <v>1930</v>
      </c>
      <c r="D241" s="15" t="s">
        <v>942</v>
      </c>
      <c r="E241" s="13">
        <v>45945</v>
      </c>
      <c r="F241" s="15" t="s">
        <v>1931</v>
      </c>
      <c r="G241" s="13">
        <v>45945</v>
      </c>
      <c r="H241" s="15" t="s">
        <v>56</v>
      </c>
      <c r="I241" s="15" t="s">
        <v>1134</v>
      </c>
      <c r="J241" s="19"/>
      <c r="K241" s="15" t="s">
        <v>1135</v>
      </c>
      <c r="L241" s="15" t="s">
        <v>1135</v>
      </c>
      <c r="M241" s="15" t="s">
        <v>1935</v>
      </c>
      <c r="N241" s="18" t="s">
        <v>1933</v>
      </c>
      <c r="O241" s="15" t="s">
        <v>945</v>
      </c>
      <c r="P241" s="19"/>
      <c r="Q241" s="19"/>
      <c r="R241" s="15">
        <v>36396347</v>
      </c>
      <c r="S241" s="15">
        <v>1</v>
      </c>
      <c r="T241" s="17">
        <v>6920</v>
      </c>
      <c r="U241" s="17">
        <f t="shared" si="3"/>
        <v>6920</v>
      </c>
      <c r="V241" s="15" t="s">
        <v>1138</v>
      </c>
      <c r="W241" s="15" t="s">
        <v>1138</v>
      </c>
      <c r="X241" s="15" t="s">
        <v>1138</v>
      </c>
      <c r="Y241" s="15" t="s">
        <v>1135</v>
      </c>
      <c r="Z241" s="15" t="s">
        <v>1139</v>
      </c>
      <c r="AA241" s="15" t="s">
        <v>2153</v>
      </c>
      <c r="AB241" s="13">
        <v>46073</v>
      </c>
      <c r="AC241" s="14"/>
    </row>
    <row r="242" spans="1:29" x14ac:dyDescent="0.35">
      <c r="A242" s="15">
        <v>241</v>
      </c>
      <c r="B242" s="15" t="s">
        <v>1936</v>
      </c>
      <c r="C242" s="16" t="s">
        <v>1937</v>
      </c>
      <c r="D242" s="15" t="s">
        <v>949</v>
      </c>
      <c r="E242" s="13">
        <v>45945</v>
      </c>
      <c r="F242" s="15" t="s">
        <v>1938</v>
      </c>
      <c r="G242" s="13">
        <v>45945</v>
      </c>
      <c r="H242" s="15" t="s">
        <v>56</v>
      </c>
      <c r="I242" s="18" t="s">
        <v>1134</v>
      </c>
      <c r="J242" s="19"/>
      <c r="K242" s="15" t="s">
        <v>1135</v>
      </c>
      <c r="L242" s="15" t="s">
        <v>1135</v>
      </c>
      <c r="M242" s="18" t="s">
        <v>1939</v>
      </c>
      <c r="N242" s="18" t="s">
        <v>1940</v>
      </c>
      <c r="O242" s="15" t="s">
        <v>1437</v>
      </c>
      <c r="P242" s="19"/>
      <c r="Q242" s="19"/>
      <c r="R242" s="15">
        <v>36396385</v>
      </c>
      <c r="S242" s="15">
        <v>1</v>
      </c>
      <c r="T242" s="17">
        <v>6920</v>
      </c>
      <c r="U242" s="17">
        <f t="shared" si="3"/>
        <v>6920</v>
      </c>
      <c r="V242" s="15" t="s">
        <v>1138</v>
      </c>
      <c r="W242" s="15" t="s">
        <v>1138</v>
      </c>
      <c r="X242" s="15" t="s">
        <v>1138</v>
      </c>
      <c r="Y242" s="15" t="s">
        <v>1135</v>
      </c>
      <c r="Z242" s="15" t="s">
        <v>1139</v>
      </c>
      <c r="AA242" s="15" t="s">
        <v>2153</v>
      </c>
      <c r="AB242" s="13">
        <v>46073</v>
      </c>
      <c r="AC242" s="14"/>
    </row>
    <row r="243" spans="1:29" x14ac:dyDescent="0.35">
      <c r="A243" s="15">
        <v>242</v>
      </c>
      <c r="B243" s="15" t="s">
        <v>1936</v>
      </c>
      <c r="C243" s="16" t="s">
        <v>1937</v>
      </c>
      <c r="D243" s="15" t="s">
        <v>949</v>
      </c>
      <c r="E243" s="13">
        <v>45945</v>
      </c>
      <c r="F243" s="15" t="s">
        <v>1938</v>
      </c>
      <c r="G243" s="13">
        <v>45945</v>
      </c>
      <c r="H243" s="15" t="s">
        <v>56</v>
      </c>
      <c r="I243" s="18" t="s">
        <v>1134</v>
      </c>
      <c r="J243" s="19"/>
      <c r="K243" s="15" t="s">
        <v>1135</v>
      </c>
      <c r="L243" s="15" t="s">
        <v>1135</v>
      </c>
      <c r="M243" s="18" t="s">
        <v>1941</v>
      </c>
      <c r="N243" s="18" t="s">
        <v>1940</v>
      </c>
      <c r="O243" s="15" t="s">
        <v>262</v>
      </c>
      <c r="P243" s="19"/>
      <c r="Q243" s="19"/>
      <c r="R243" s="15">
        <v>36398393</v>
      </c>
      <c r="S243" s="15">
        <v>1</v>
      </c>
      <c r="T243" s="17">
        <v>3571</v>
      </c>
      <c r="U243" s="17">
        <f t="shared" si="3"/>
        <v>3571</v>
      </c>
      <c r="V243" s="15" t="s">
        <v>1138</v>
      </c>
      <c r="W243" s="15" t="s">
        <v>1138</v>
      </c>
      <c r="X243" s="15" t="s">
        <v>1138</v>
      </c>
      <c r="Y243" s="15" t="s">
        <v>1135</v>
      </c>
      <c r="Z243" s="15" t="s">
        <v>1139</v>
      </c>
      <c r="AA243" s="15" t="s">
        <v>2153</v>
      </c>
      <c r="AB243" s="13">
        <v>46073</v>
      </c>
      <c r="AC243" s="14"/>
    </row>
    <row r="244" spans="1:29" x14ac:dyDescent="0.35">
      <c r="A244" s="15">
        <v>243</v>
      </c>
      <c r="B244" s="15" t="s">
        <v>1942</v>
      </c>
      <c r="C244" s="16" t="s">
        <v>1943</v>
      </c>
      <c r="D244" s="15" t="s">
        <v>955</v>
      </c>
      <c r="E244" s="13">
        <v>45945</v>
      </c>
      <c r="F244" s="15" t="s">
        <v>1944</v>
      </c>
      <c r="G244" s="13">
        <v>45945</v>
      </c>
      <c r="H244" s="15" t="s">
        <v>56</v>
      </c>
      <c r="I244" s="15" t="s">
        <v>1134</v>
      </c>
      <c r="J244" s="19"/>
      <c r="K244" s="15" t="s">
        <v>1135</v>
      </c>
      <c r="L244" s="15" t="s">
        <v>1135</v>
      </c>
      <c r="M244" s="15" t="s">
        <v>1945</v>
      </c>
      <c r="N244" s="18" t="s">
        <v>1946</v>
      </c>
      <c r="O244" s="15" t="s">
        <v>1947</v>
      </c>
      <c r="P244" s="19"/>
      <c r="Q244" s="19"/>
      <c r="R244" s="15">
        <v>35757007</v>
      </c>
      <c r="S244" s="15">
        <v>1</v>
      </c>
      <c r="T244" s="17">
        <v>41071</v>
      </c>
      <c r="U244" s="17">
        <f t="shared" si="3"/>
        <v>41071</v>
      </c>
      <c r="V244" s="15" t="s">
        <v>1138</v>
      </c>
      <c r="W244" s="15" t="s">
        <v>1138</v>
      </c>
      <c r="X244" s="15" t="s">
        <v>1138</v>
      </c>
      <c r="Y244" s="15" t="s">
        <v>1135</v>
      </c>
      <c r="Z244" s="15" t="s">
        <v>1139</v>
      </c>
      <c r="AA244" s="15" t="s">
        <v>2153</v>
      </c>
      <c r="AB244" s="13">
        <v>46073</v>
      </c>
      <c r="AC244" s="14"/>
    </row>
    <row r="245" spans="1:29" x14ac:dyDescent="0.35">
      <c r="A245" s="15">
        <v>244</v>
      </c>
      <c r="B245" s="15" t="s">
        <v>1942</v>
      </c>
      <c r="C245" s="16" t="s">
        <v>1943</v>
      </c>
      <c r="D245" s="15" t="s">
        <v>955</v>
      </c>
      <c r="E245" s="13">
        <v>45945</v>
      </c>
      <c r="F245" s="15" t="s">
        <v>1944</v>
      </c>
      <c r="G245" s="13">
        <v>45945</v>
      </c>
      <c r="H245" s="15" t="s">
        <v>56</v>
      </c>
      <c r="I245" s="15" t="s">
        <v>1134</v>
      </c>
      <c r="J245" s="19"/>
      <c r="K245" s="15" t="s">
        <v>1135</v>
      </c>
      <c r="L245" s="15" t="s">
        <v>1135</v>
      </c>
      <c r="M245" s="18" t="s">
        <v>1948</v>
      </c>
      <c r="N245" s="18" t="s">
        <v>1946</v>
      </c>
      <c r="O245" s="15" t="s">
        <v>1949</v>
      </c>
      <c r="P245" s="19"/>
      <c r="Q245" s="19"/>
      <c r="R245" s="15">
        <v>33114776</v>
      </c>
      <c r="S245" s="15">
        <v>1</v>
      </c>
      <c r="T245" s="17">
        <v>38933.129999999997</v>
      </c>
      <c r="U245" s="17">
        <f t="shared" si="3"/>
        <v>38933.129999999997</v>
      </c>
      <c r="V245" s="15" t="s">
        <v>1138</v>
      </c>
      <c r="W245" s="15" t="s">
        <v>1138</v>
      </c>
      <c r="X245" s="15" t="s">
        <v>1138</v>
      </c>
      <c r="Y245" s="15" t="s">
        <v>1135</v>
      </c>
      <c r="Z245" s="15" t="s">
        <v>1139</v>
      </c>
      <c r="AA245" s="15" t="s">
        <v>2153</v>
      </c>
      <c r="AB245" s="13">
        <v>46073</v>
      </c>
      <c r="AC245" s="14"/>
    </row>
    <row r="246" spans="1:29" x14ac:dyDescent="0.35">
      <c r="A246" s="15">
        <v>245</v>
      </c>
      <c r="B246" s="15" t="s">
        <v>1942</v>
      </c>
      <c r="C246" s="16" t="s">
        <v>1943</v>
      </c>
      <c r="D246" s="15" t="s">
        <v>955</v>
      </c>
      <c r="E246" s="13">
        <v>45945</v>
      </c>
      <c r="F246" s="15" t="s">
        <v>1944</v>
      </c>
      <c r="G246" s="13">
        <v>45945</v>
      </c>
      <c r="H246" s="15" t="s">
        <v>56</v>
      </c>
      <c r="I246" s="15" t="s">
        <v>1134</v>
      </c>
      <c r="J246" s="19"/>
      <c r="K246" s="15" t="s">
        <v>1135</v>
      </c>
      <c r="L246" s="15" t="s">
        <v>1135</v>
      </c>
      <c r="M246" s="18" t="s">
        <v>1950</v>
      </c>
      <c r="N246" s="18" t="s">
        <v>1946</v>
      </c>
      <c r="O246" s="15" t="s">
        <v>365</v>
      </c>
      <c r="P246" s="19"/>
      <c r="Q246" s="19"/>
      <c r="R246" s="15">
        <v>36406027</v>
      </c>
      <c r="S246" s="15">
        <v>1</v>
      </c>
      <c r="T246" s="17">
        <v>43750</v>
      </c>
      <c r="U246" s="17">
        <f t="shared" si="3"/>
        <v>43750</v>
      </c>
      <c r="V246" s="15" t="s">
        <v>1138</v>
      </c>
      <c r="W246" s="15" t="s">
        <v>1138</v>
      </c>
      <c r="X246" s="15" t="s">
        <v>1138</v>
      </c>
      <c r="Y246" s="15" t="s">
        <v>1135</v>
      </c>
      <c r="Z246" s="15" t="s">
        <v>1139</v>
      </c>
      <c r="AA246" s="15" t="s">
        <v>2153</v>
      </c>
      <c r="AB246" s="13">
        <v>46073</v>
      </c>
      <c r="AC246" s="14"/>
    </row>
    <row r="247" spans="1:29" x14ac:dyDescent="0.35">
      <c r="A247" s="15">
        <v>246</v>
      </c>
      <c r="B247" s="15" t="s">
        <v>1951</v>
      </c>
      <c r="C247" s="16" t="s">
        <v>1952</v>
      </c>
      <c r="D247" s="15" t="s">
        <v>975</v>
      </c>
      <c r="E247" s="13">
        <v>45946</v>
      </c>
      <c r="F247" s="15" t="s">
        <v>1953</v>
      </c>
      <c r="G247" s="13">
        <v>45946</v>
      </c>
      <c r="H247" s="15" t="s">
        <v>56</v>
      </c>
      <c r="I247" s="15" t="s">
        <v>1134</v>
      </c>
      <c r="J247" s="19"/>
      <c r="K247" s="15" t="s">
        <v>1135</v>
      </c>
      <c r="L247" s="15" t="s">
        <v>1135</v>
      </c>
      <c r="M247" s="18" t="s">
        <v>1954</v>
      </c>
      <c r="N247" s="15" t="s">
        <v>1135</v>
      </c>
      <c r="O247" s="15" t="s">
        <v>1477</v>
      </c>
      <c r="P247" s="19"/>
      <c r="Q247" s="19"/>
      <c r="R247" s="15" t="s">
        <v>976</v>
      </c>
      <c r="S247" s="15">
        <v>1</v>
      </c>
      <c r="T247" s="17">
        <v>38393</v>
      </c>
      <c r="U247" s="17">
        <f t="shared" si="3"/>
        <v>38393</v>
      </c>
      <c r="V247" s="15" t="s">
        <v>1138</v>
      </c>
      <c r="W247" s="15" t="s">
        <v>1138</v>
      </c>
      <c r="X247" s="15" t="s">
        <v>1138</v>
      </c>
      <c r="Y247" s="15" t="s">
        <v>1135</v>
      </c>
      <c r="Z247" s="15" t="s">
        <v>1139</v>
      </c>
      <c r="AA247" s="15" t="s">
        <v>2153</v>
      </c>
      <c r="AB247" s="13">
        <v>46073</v>
      </c>
      <c r="AC247" s="14"/>
    </row>
    <row r="248" spans="1:29" x14ac:dyDescent="0.35">
      <c r="A248" s="15">
        <v>247</v>
      </c>
      <c r="B248" s="15" t="s">
        <v>1951</v>
      </c>
      <c r="C248" s="16" t="s">
        <v>1952</v>
      </c>
      <c r="D248" s="15" t="s">
        <v>975</v>
      </c>
      <c r="E248" s="13">
        <v>45946</v>
      </c>
      <c r="F248" s="15" t="s">
        <v>1953</v>
      </c>
      <c r="G248" s="13">
        <v>45946</v>
      </c>
      <c r="H248" s="15" t="s">
        <v>56</v>
      </c>
      <c r="I248" s="15" t="s">
        <v>1134</v>
      </c>
      <c r="J248" s="19"/>
      <c r="K248" s="15" t="s">
        <v>1135</v>
      </c>
      <c r="L248" s="15" t="s">
        <v>1135</v>
      </c>
      <c r="M248" s="18" t="s">
        <v>1955</v>
      </c>
      <c r="N248" s="15" t="s">
        <v>1135</v>
      </c>
      <c r="O248" s="15" t="s">
        <v>493</v>
      </c>
      <c r="P248" s="19"/>
      <c r="Q248" s="19"/>
      <c r="R248" s="15">
        <v>36673309</v>
      </c>
      <c r="S248" s="15">
        <v>1</v>
      </c>
      <c r="T248" s="17">
        <v>3572</v>
      </c>
      <c r="U248" s="17">
        <f t="shared" si="3"/>
        <v>3572</v>
      </c>
      <c r="V248" s="15" t="s">
        <v>1138</v>
      </c>
      <c r="W248" s="15" t="s">
        <v>1138</v>
      </c>
      <c r="X248" s="15" t="s">
        <v>1138</v>
      </c>
      <c r="Y248" s="15" t="s">
        <v>1135</v>
      </c>
      <c r="Z248" s="15" t="s">
        <v>1139</v>
      </c>
      <c r="AA248" s="15" t="s">
        <v>2153</v>
      </c>
      <c r="AB248" s="13">
        <v>46073</v>
      </c>
      <c r="AC248" s="14"/>
    </row>
    <row r="249" spans="1:29" x14ac:dyDescent="0.35">
      <c r="A249" s="15">
        <v>248</v>
      </c>
      <c r="B249" s="15" t="s">
        <v>1951</v>
      </c>
      <c r="C249" s="16" t="s">
        <v>1952</v>
      </c>
      <c r="D249" s="15" t="s">
        <v>975</v>
      </c>
      <c r="E249" s="13">
        <v>45946</v>
      </c>
      <c r="F249" s="15" t="s">
        <v>1953</v>
      </c>
      <c r="G249" s="13">
        <v>45946</v>
      </c>
      <c r="H249" s="15" t="s">
        <v>56</v>
      </c>
      <c r="I249" s="15" t="s">
        <v>1134</v>
      </c>
      <c r="J249" s="19"/>
      <c r="K249" s="15" t="s">
        <v>1135</v>
      </c>
      <c r="L249" s="15" t="s">
        <v>1135</v>
      </c>
      <c r="M249" s="18" t="s">
        <v>1956</v>
      </c>
      <c r="N249" s="15" t="s">
        <v>1135</v>
      </c>
      <c r="O249" s="15" t="s">
        <v>1957</v>
      </c>
      <c r="P249" s="19"/>
      <c r="Q249" s="19"/>
      <c r="R249" s="15">
        <v>33677707</v>
      </c>
      <c r="S249" s="15">
        <v>1</v>
      </c>
      <c r="T249" s="17">
        <v>38933.129999999997</v>
      </c>
      <c r="U249" s="17">
        <f t="shared" si="3"/>
        <v>38933.129999999997</v>
      </c>
      <c r="V249" s="15" t="s">
        <v>1138</v>
      </c>
      <c r="W249" s="15" t="s">
        <v>1138</v>
      </c>
      <c r="X249" s="15" t="s">
        <v>1138</v>
      </c>
      <c r="Y249" s="15" t="s">
        <v>1135</v>
      </c>
      <c r="Z249" s="15" t="s">
        <v>1139</v>
      </c>
      <c r="AA249" s="15" t="s">
        <v>2153</v>
      </c>
      <c r="AB249" s="13">
        <v>46073</v>
      </c>
      <c r="AC249" s="14"/>
    </row>
    <row r="250" spans="1:29" x14ac:dyDescent="0.35">
      <c r="A250" s="15">
        <v>249</v>
      </c>
      <c r="B250" s="15" t="s">
        <v>1951</v>
      </c>
      <c r="C250" s="16" t="s">
        <v>1952</v>
      </c>
      <c r="D250" s="15" t="s">
        <v>975</v>
      </c>
      <c r="E250" s="13">
        <v>45946</v>
      </c>
      <c r="F250" s="15" t="s">
        <v>1953</v>
      </c>
      <c r="G250" s="13">
        <v>45946</v>
      </c>
      <c r="H250" s="15" t="s">
        <v>56</v>
      </c>
      <c r="I250" s="15" t="s">
        <v>1134</v>
      </c>
      <c r="J250" s="19"/>
      <c r="K250" s="15" t="s">
        <v>1135</v>
      </c>
      <c r="L250" s="15" t="s">
        <v>1135</v>
      </c>
      <c r="M250" s="18" t="s">
        <v>1958</v>
      </c>
      <c r="N250" s="15" t="s">
        <v>1135</v>
      </c>
      <c r="O250" s="15" t="s">
        <v>1215</v>
      </c>
      <c r="P250" s="19"/>
      <c r="Q250" s="19"/>
      <c r="R250" s="15">
        <v>36153763</v>
      </c>
      <c r="S250" s="15">
        <v>1</v>
      </c>
      <c r="T250" s="17">
        <v>6920</v>
      </c>
      <c r="U250" s="17">
        <f t="shared" si="3"/>
        <v>6920</v>
      </c>
      <c r="V250" s="15" t="s">
        <v>1138</v>
      </c>
      <c r="W250" s="15" t="s">
        <v>1138</v>
      </c>
      <c r="X250" s="15" t="s">
        <v>1138</v>
      </c>
      <c r="Y250" s="15" t="s">
        <v>1135</v>
      </c>
      <c r="Z250" s="15" t="s">
        <v>1139</v>
      </c>
      <c r="AA250" s="15" t="s">
        <v>2153</v>
      </c>
      <c r="AB250" s="13">
        <v>46073</v>
      </c>
      <c r="AC250" s="14"/>
    </row>
    <row r="251" spans="1:29" x14ac:dyDescent="0.35">
      <c r="A251" s="15">
        <v>250</v>
      </c>
      <c r="B251" s="15" t="s">
        <v>1959</v>
      </c>
      <c r="C251" s="16" t="s">
        <v>1960</v>
      </c>
      <c r="D251" s="15" t="s">
        <v>979</v>
      </c>
      <c r="E251" s="13">
        <v>45946</v>
      </c>
      <c r="F251" s="15" t="s">
        <v>1961</v>
      </c>
      <c r="G251" s="13">
        <v>45946</v>
      </c>
      <c r="H251" s="15" t="s">
        <v>56</v>
      </c>
      <c r="I251" s="18" t="s">
        <v>1134</v>
      </c>
      <c r="J251" s="19"/>
      <c r="K251" s="15" t="s">
        <v>1135</v>
      </c>
      <c r="L251" s="15" t="s">
        <v>1135</v>
      </c>
      <c r="M251" s="18" t="s">
        <v>1962</v>
      </c>
      <c r="N251" s="18" t="s">
        <v>1963</v>
      </c>
      <c r="O251" s="15" t="s">
        <v>1414</v>
      </c>
      <c r="P251" s="19"/>
      <c r="Q251" s="19"/>
      <c r="R251" s="15">
        <v>36317714</v>
      </c>
      <c r="S251" s="15">
        <v>1</v>
      </c>
      <c r="T251" s="17">
        <v>6920</v>
      </c>
      <c r="U251" s="17">
        <f t="shared" si="3"/>
        <v>6920</v>
      </c>
      <c r="V251" s="15" t="s">
        <v>1138</v>
      </c>
      <c r="W251" s="15" t="s">
        <v>1138</v>
      </c>
      <c r="X251" s="15" t="s">
        <v>1138</v>
      </c>
      <c r="Y251" s="15" t="s">
        <v>1135</v>
      </c>
      <c r="Z251" s="15" t="s">
        <v>1139</v>
      </c>
      <c r="AA251" s="15" t="s">
        <v>2153</v>
      </c>
      <c r="AB251" s="13">
        <v>46073</v>
      </c>
      <c r="AC251" s="14"/>
    </row>
    <row r="252" spans="1:29" x14ac:dyDescent="0.35">
      <c r="A252" s="15">
        <v>251</v>
      </c>
      <c r="B252" s="15" t="s">
        <v>1964</v>
      </c>
      <c r="C252" s="16" t="s">
        <v>1965</v>
      </c>
      <c r="D252" s="15" t="s">
        <v>981</v>
      </c>
      <c r="E252" s="13">
        <v>45946</v>
      </c>
      <c r="F252" s="15" t="s">
        <v>1966</v>
      </c>
      <c r="G252" s="13">
        <v>45946</v>
      </c>
      <c r="H252" s="15" t="s">
        <v>56</v>
      </c>
      <c r="I252" s="18" t="s">
        <v>1134</v>
      </c>
      <c r="J252" s="19"/>
      <c r="K252" s="15" t="s">
        <v>1135</v>
      </c>
      <c r="L252" s="15" t="s">
        <v>1135</v>
      </c>
      <c r="M252" s="18" t="s">
        <v>1967</v>
      </c>
      <c r="N252" s="18" t="s">
        <v>1968</v>
      </c>
      <c r="O252" s="15" t="s">
        <v>1617</v>
      </c>
      <c r="P252" s="19"/>
      <c r="Q252" s="19"/>
      <c r="R252" s="15">
        <v>36317339</v>
      </c>
      <c r="S252" s="15">
        <v>1</v>
      </c>
      <c r="T252" s="17">
        <v>6920</v>
      </c>
      <c r="U252" s="17">
        <f t="shared" si="3"/>
        <v>6920</v>
      </c>
      <c r="V252" s="15" t="s">
        <v>1138</v>
      </c>
      <c r="W252" s="15" t="s">
        <v>1138</v>
      </c>
      <c r="X252" s="15" t="s">
        <v>1138</v>
      </c>
      <c r="Y252" s="15" t="s">
        <v>1135</v>
      </c>
      <c r="Z252" s="15" t="s">
        <v>1139</v>
      </c>
      <c r="AA252" s="15" t="s">
        <v>2153</v>
      </c>
      <c r="AB252" s="13">
        <v>46073</v>
      </c>
      <c r="AC252" s="14"/>
    </row>
    <row r="253" spans="1:29" x14ac:dyDescent="0.35">
      <c r="A253" s="15">
        <v>252</v>
      </c>
      <c r="B253" s="15" t="s">
        <v>1969</v>
      </c>
      <c r="C253" s="16" t="s">
        <v>1970</v>
      </c>
      <c r="D253" s="15" t="s">
        <v>984</v>
      </c>
      <c r="E253" s="13">
        <v>45946</v>
      </c>
      <c r="F253" s="15" t="s">
        <v>1971</v>
      </c>
      <c r="G253" s="13">
        <v>45946</v>
      </c>
      <c r="H253" s="15" t="s">
        <v>56</v>
      </c>
      <c r="I253" s="18" t="s">
        <v>1134</v>
      </c>
      <c r="J253" s="19"/>
      <c r="K253" s="15" t="s">
        <v>1135</v>
      </c>
      <c r="L253" s="15" t="s">
        <v>1135</v>
      </c>
      <c r="M253" s="15" t="s">
        <v>1972</v>
      </c>
      <c r="N253" s="18" t="s">
        <v>1973</v>
      </c>
      <c r="O253" s="15" t="s">
        <v>242</v>
      </c>
      <c r="P253" s="19"/>
      <c r="Q253" s="19"/>
      <c r="R253" s="15">
        <v>35763423</v>
      </c>
      <c r="S253" s="15">
        <v>1</v>
      </c>
      <c r="T253" s="17">
        <v>6920</v>
      </c>
      <c r="U253" s="17">
        <f t="shared" si="3"/>
        <v>6920</v>
      </c>
      <c r="V253" s="15" t="s">
        <v>1138</v>
      </c>
      <c r="W253" s="15" t="s">
        <v>1138</v>
      </c>
      <c r="X253" s="15" t="s">
        <v>1138</v>
      </c>
      <c r="Y253" s="15" t="s">
        <v>1135</v>
      </c>
      <c r="Z253" s="15" t="s">
        <v>1139</v>
      </c>
      <c r="AA253" s="15" t="s">
        <v>2153</v>
      </c>
      <c r="AB253" s="13">
        <v>46073</v>
      </c>
      <c r="AC253" s="14"/>
    </row>
    <row r="254" spans="1:29" x14ac:dyDescent="0.35">
      <c r="A254" s="15">
        <v>253</v>
      </c>
      <c r="B254" s="15" t="s">
        <v>1974</v>
      </c>
      <c r="C254" s="16" t="s">
        <v>1975</v>
      </c>
      <c r="D254" s="15" t="s">
        <v>990</v>
      </c>
      <c r="E254" s="13">
        <v>45947</v>
      </c>
      <c r="F254" s="15" t="s">
        <v>1976</v>
      </c>
      <c r="G254" s="13">
        <v>45947</v>
      </c>
      <c r="H254" s="15" t="s">
        <v>56</v>
      </c>
      <c r="I254" s="18" t="s">
        <v>1134</v>
      </c>
      <c r="J254" s="19"/>
      <c r="K254" s="15" t="s">
        <v>1135</v>
      </c>
      <c r="L254" s="15" t="s">
        <v>1135</v>
      </c>
      <c r="M254" s="15" t="s">
        <v>1977</v>
      </c>
      <c r="N254" s="18" t="s">
        <v>1978</v>
      </c>
      <c r="O254" s="15" t="s">
        <v>1401</v>
      </c>
      <c r="P254" s="19"/>
      <c r="Q254" s="19"/>
      <c r="R254" s="15">
        <v>35092384</v>
      </c>
      <c r="S254" s="15">
        <v>1</v>
      </c>
      <c r="T254" s="17">
        <v>38933.129999999997</v>
      </c>
      <c r="U254" s="17">
        <f t="shared" si="3"/>
        <v>38933.129999999997</v>
      </c>
      <c r="V254" s="15" t="s">
        <v>1138</v>
      </c>
      <c r="W254" s="15" t="s">
        <v>1138</v>
      </c>
      <c r="X254" s="15" t="s">
        <v>1138</v>
      </c>
      <c r="Y254" s="15" t="s">
        <v>1135</v>
      </c>
      <c r="Z254" s="15" t="s">
        <v>1139</v>
      </c>
      <c r="AA254" s="15" t="s">
        <v>2153</v>
      </c>
      <c r="AB254" s="13">
        <v>46073</v>
      </c>
      <c r="AC254" s="14"/>
    </row>
    <row r="255" spans="1:29" x14ac:dyDescent="0.35">
      <c r="A255" s="15">
        <v>254</v>
      </c>
      <c r="B255" s="15" t="s">
        <v>1974</v>
      </c>
      <c r="C255" s="16" t="s">
        <v>1975</v>
      </c>
      <c r="D255" s="15" t="s">
        <v>990</v>
      </c>
      <c r="E255" s="13">
        <v>45947</v>
      </c>
      <c r="F255" s="15" t="s">
        <v>1976</v>
      </c>
      <c r="G255" s="13">
        <v>45947</v>
      </c>
      <c r="H255" s="15" t="s">
        <v>56</v>
      </c>
      <c r="I255" s="18" t="s">
        <v>1134</v>
      </c>
      <c r="J255" s="19"/>
      <c r="K255" s="15" t="s">
        <v>1135</v>
      </c>
      <c r="L255" s="15" t="s">
        <v>1135</v>
      </c>
      <c r="M255" s="18" t="s">
        <v>1979</v>
      </c>
      <c r="N255" s="18" t="s">
        <v>1978</v>
      </c>
      <c r="O255" s="15" t="s">
        <v>1980</v>
      </c>
      <c r="P255" s="19"/>
      <c r="Q255" s="19"/>
      <c r="R255" s="15">
        <v>35083410</v>
      </c>
      <c r="S255" s="15">
        <v>1</v>
      </c>
      <c r="T255" s="17">
        <v>38933.129999999997</v>
      </c>
      <c r="U255" s="17">
        <f t="shared" si="3"/>
        <v>38933.129999999997</v>
      </c>
      <c r="V255" s="15" t="s">
        <v>1138</v>
      </c>
      <c r="W255" s="15" t="s">
        <v>1138</v>
      </c>
      <c r="X255" s="15" t="s">
        <v>1138</v>
      </c>
      <c r="Y255" s="15" t="s">
        <v>1135</v>
      </c>
      <c r="Z255" s="15" t="s">
        <v>1139</v>
      </c>
      <c r="AA255" s="15" t="s">
        <v>2153</v>
      </c>
      <c r="AB255" s="13">
        <v>46073</v>
      </c>
      <c r="AC255" s="14"/>
    </row>
    <row r="256" spans="1:29" x14ac:dyDescent="0.35">
      <c r="A256" s="15">
        <v>255</v>
      </c>
      <c r="B256" s="15" t="s">
        <v>1974</v>
      </c>
      <c r="C256" s="16" t="s">
        <v>1975</v>
      </c>
      <c r="D256" s="15" t="s">
        <v>990</v>
      </c>
      <c r="E256" s="13">
        <v>45947</v>
      </c>
      <c r="F256" s="15" t="s">
        <v>1976</v>
      </c>
      <c r="G256" s="13">
        <v>45947</v>
      </c>
      <c r="H256" s="15" t="s">
        <v>56</v>
      </c>
      <c r="I256" s="18" t="s">
        <v>1134</v>
      </c>
      <c r="J256" s="19"/>
      <c r="K256" s="15" t="s">
        <v>1135</v>
      </c>
      <c r="L256" s="15" t="s">
        <v>1135</v>
      </c>
      <c r="M256" s="18" t="s">
        <v>1981</v>
      </c>
      <c r="N256" s="18" t="s">
        <v>1978</v>
      </c>
      <c r="O256" s="15" t="s">
        <v>1399</v>
      </c>
      <c r="P256" s="19"/>
      <c r="Q256" s="19"/>
      <c r="R256" s="15">
        <v>35386449</v>
      </c>
      <c r="S256" s="15">
        <v>1</v>
      </c>
      <c r="T256" s="17">
        <v>38933.129999999997</v>
      </c>
      <c r="U256" s="17">
        <f t="shared" si="3"/>
        <v>38933.129999999997</v>
      </c>
      <c r="V256" s="15" t="s">
        <v>1138</v>
      </c>
      <c r="W256" s="15" t="s">
        <v>1138</v>
      </c>
      <c r="X256" s="15" t="s">
        <v>1138</v>
      </c>
      <c r="Y256" s="15" t="s">
        <v>1135</v>
      </c>
      <c r="Z256" s="15" t="s">
        <v>1139</v>
      </c>
      <c r="AA256" s="15" t="s">
        <v>2153</v>
      </c>
      <c r="AB256" s="13">
        <v>46073</v>
      </c>
      <c r="AC256" s="14"/>
    </row>
    <row r="257" spans="1:29" x14ac:dyDescent="0.35">
      <c r="A257" s="15">
        <v>256</v>
      </c>
      <c r="B257" s="15" t="s">
        <v>1982</v>
      </c>
      <c r="C257" s="16" t="s">
        <v>1983</v>
      </c>
      <c r="D257" s="15" t="s">
        <v>994</v>
      </c>
      <c r="E257" s="13">
        <v>45947</v>
      </c>
      <c r="F257" s="15" t="s">
        <v>1984</v>
      </c>
      <c r="G257" s="13">
        <v>45947</v>
      </c>
      <c r="H257" s="15" t="s">
        <v>56</v>
      </c>
      <c r="I257" s="15" t="s">
        <v>1134</v>
      </c>
      <c r="J257" s="19"/>
      <c r="K257" s="15" t="s">
        <v>1135</v>
      </c>
      <c r="L257" s="15" t="s">
        <v>1135</v>
      </c>
      <c r="M257" s="18" t="s">
        <v>1985</v>
      </c>
      <c r="N257" s="18" t="s">
        <v>1986</v>
      </c>
      <c r="O257" s="15" t="s">
        <v>1778</v>
      </c>
      <c r="P257" s="19"/>
      <c r="Q257" s="19"/>
      <c r="R257" s="15">
        <v>36262013</v>
      </c>
      <c r="S257" s="15">
        <v>1</v>
      </c>
      <c r="T257" s="17">
        <v>6920</v>
      </c>
      <c r="U257" s="17">
        <f t="shared" si="3"/>
        <v>6920</v>
      </c>
      <c r="V257" s="15" t="s">
        <v>1138</v>
      </c>
      <c r="W257" s="15" t="s">
        <v>1138</v>
      </c>
      <c r="X257" s="15" t="s">
        <v>1138</v>
      </c>
      <c r="Y257" s="15" t="s">
        <v>1135</v>
      </c>
      <c r="Z257" s="15" t="s">
        <v>1139</v>
      </c>
      <c r="AA257" s="15" t="s">
        <v>2153</v>
      </c>
      <c r="AB257" s="13">
        <v>46073</v>
      </c>
      <c r="AC257" s="14"/>
    </row>
    <row r="258" spans="1:29" x14ac:dyDescent="0.35">
      <c r="A258" s="15">
        <v>257</v>
      </c>
      <c r="B258" s="15" t="s">
        <v>1987</v>
      </c>
      <c r="C258" s="16" t="s">
        <v>1988</v>
      </c>
      <c r="D258" s="15" t="s">
        <v>996</v>
      </c>
      <c r="E258" s="13">
        <v>45947</v>
      </c>
      <c r="F258" s="15" t="s">
        <v>1989</v>
      </c>
      <c r="G258" s="13">
        <v>45947</v>
      </c>
      <c r="H258" s="15" t="s">
        <v>56</v>
      </c>
      <c r="I258" s="15" t="s">
        <v>1134</v>
      </c>
      <c r="J258" s="19"/>
      <c r="K258" s="15" t="s">
        <v>1135</v>
      </c>
      <c r="L258" s="15" t="s">
        <v>1135</v>
      </c>
      <c r="M258" s="18" t="s">
        <v>1990</v>
      </c>
      <c r="N258" s="18" t="s">
        <v>1991</v>
      </c>
      <c r="O258" s="15" t="s">
        <v>1441</v>
      </c>
      <c r="P258" s="19"/>
      <c r="Q258" s="19"/>
      <c r="R258" s="15">
        <v>36934938</v>
      </c>
      <c r="S258" s="15">
        <v>1</v>
      </c>
      <c r="T258" s="17">
        <v>6920</v>
      </c>
      <c r="U258" s="17">
        <f t="shared" ref="U258:U303" si="4">T258*S258</f>
        <v>6920</v>
      </c>
      <c r="V258" s="15" t="s">
        <v>1138</v>
      </c>
      <c r="W258" s="15" t="s">
        <v>1138</v>
      </c>
      <c r="X258" s="15" t="s">
        <v>1138</v>
      </c>
      <c r="Y258" s="15" t="s">
        <v>1135</v>
      </c>
      <c r="Z258" s="15" t="s">
        <v>1139</v>
      </c>
      <c r="AA258" s="15" t="s">
        <v>2153</v>
      </c>
      <c r="AB258" s="13">
        <v>46073</v>
      </c>
      <c r="AC258" s="14"/>
    </row>
    <row r="259" spans="1:29" x14ac:dyDescent="0.35">
      <c r="A259" s="15">
        <v>258</v>
      </c>
      <c r="B259" s="15" t="s">
        <v>1992</v>
      </c>
      <c r="C259" s="16" t="s">
        <v>1993</v>
      </c>
      <c r="D259" s="15" t="s">
        <v>1000</v>
      </c>
      <c r="E259" s="13">
        <v>45947</v>
      </c>
      <c r="F259" s="15" t="s">
        <v>1994</v>
      </c>
      <c r="G259" s="13">
        <v>45947</v>
      </c>
      <c r="H259" s="15" t="s">
        <v>56</v>
      </c>
      <c r="I259" s="15" t="s">
        <v>1134</v>
      </c>
      <c r="J259" s="19"/>
      <c r="K259" s="15" t="s">
        <v>1135</v>
      </c>
      <c r="L259" s="15" t="s">
        <v>1135</v>
      </c>
      <c r="M259" s="15" t="s">
        <v>1995</v>
      </c>
      <c r="N259" s="18" t="s">
        <v>1996</v>
      </c>
      <c r="O259" s="15" t="s">
        <v>1490</v>
      </c>
      <c r="P259" s="19"/>
      <c r="Q259" s="19"/>
      <c r="R259" s="15">
        <v>33265563</v>
      </c>
      <c r="S259" s="15">
        <v>1</v>
      </c>
      <c r="T259" s="17">
        <v>6920</v>
      </c>
      <c r="U259" s="17">
        <f t="shared" si="4"/>
        <v>6920</v>
      </c>
      <c r="V259" s="15" t="s">
        <v>1138</v>
      </c>
      <c r="W259" s="15" t="s">
        <v>1138</v>
      </c>
      <c r="X259" s="15" t="s">
        <v>1138</v>
      </c>
      <c r="Y259" s="15" t="s">
        <v>1135</v>
      </c>
      <c r="Z259" s="15" t="s">
        <v>1139</v>
      </c>
      <c r="AA259" s="15" t="s">
        <v>2153</v>
      </c>
      <c r="AB259" s="13">
        <v>46073</v>
      </c>
      <c r="AC259" s="14"/>
    </row>
    <row r="260" spans="1:29" x14ac:dyDescent="0.35">
      <c r="A260" s="15">
        <v>259</v>
      </c>
      <c r="B260" s="15" t="s">
        <v>1992</v>
      </c>
      <c r="C260" s="16" t="s">
        <v>1993</v>
      </c>
      <c r="D260" s="15" t="s">
        <v>1000</v>
      </c>
      <c r="E260" s="13">
        <v>45947</v>
      </c>
      <c r="F260" s="15" t="s">
        <v>1994</v>
      </c>
      <c r="G260" s="13">
        <v>45947</v>
      </c>
      <c r="H260" s="15" t="s">
        <v>56</v>
      </c>
      <c r="I260" s="15" t="s">
        <v>1134</v>
      </c>
      <c r="J260" s="19"/>
      <c r="K260" s="15" t="s">
        <v>1135</v>
      </c>
      <c r="L260" s="15" t="s">
        <v>1135</v>
      </c>
      <c r="M260" s="18" t="s">
        <v>1997</v>
      </c>
      <c r="N260" s="18" t="s">
        <v>1996</v>
      </c>
      <c r="O260" s="15" t="s">
        <v>1472</v>
      </c>
      <c r="P260" s="19"/>
      <c r="Q260" s="19"/>
      <c r="R260" s="15">
        <v>36261944</v>
      </c>
      <c r="S260" s="15">
        <v>1</v>
      </c>
      <c r="T260" s="17">
        <v>6920</v>
      </c>
      <c r="U260" s="17">
        <f t="shared" si="4"/>
        <v>6920</v>
      </c>
      <c r="V260" s="15" t="s">
        <v>1138</v>
      </c>
      <c r="W260" s="15" t="s">
        <v>1138</v>
      </c>
      <c r="X260" s="15" t="s">
        <v>1138</v>
      </c>
      <c r="Y260" s="15" t="s">
        <v>1135</v>
      </c>
      <c r="Z260" s="15" t="s">
        <v>1139</v>
      </c>
      <c r="AA260" s="15" t="s">
        <v>2153</v>
      </c>
      <c r="AB260" s="13">
        <v>46073</v>
      </c>
      <c r="AC260" s="14"/>
    </row>
    <row r="261" spans="1:29" x14ac:dyDescent="0.35">
      <c r="A261" s="15">
        <v>260</v>
      </c>
      <c r="B261" s="15" t="s">
        <v>1998</v>
      </c>
      <c r="C261" s="16" t="s">
        <v>1999</v>
      </c>
      <c r="D261" s="15" t="s">
        <v>1002</v>
      </c>
      <c r="E261" s="13">
        <v>45947</v>
      </c>
      <c r="F261" s="15" t="s">
        <v>2000</v>
      </c>
      <c r="G261" s="13">
        <v>45947</v>
      </c>
      <c r="H261" s="15" t="s">
        <v>56</v>
      </c>
      <c r="I261" s="15" t="s">
        <v>1134</v>
      </c>
      <c r="J261" s="19"/>
      <c r="K261" s="15" t="s">
        <v>1135</v>
      </c>
      <c r="L261" s="15" t="s">
        <v>1135</v>
      </c>
      <c r="M261" s="18" t="s">
        <v>2001</v>
      </c>
      <c r="N261" s="15" t="s">
        <v>1135</v>
      </c>
      <c r="O261" s="15" t="s">
        <v>1315</v>
      </c>
      <c r="P261" s="19"/>
      <c r="Q261" s="19"/>
      <c r="R261" s="15">
        <v>35712210</v>
      </c>
      <c r="S261" s="15">
        <v>1</v>
      </c>
      <c r="T261" s="17">
        <v>6920</v>
      </c>
      <c r="U261" s="17">
        <f t="shared" si="4"/>
        <v>6920</v>
      </c>
      <c r="V261" s="15" t="s">
        <v>1138</v>
      </c>
      <c r="W261" s="15" t="s">
        <v>1138</v>
      </c>
      <c r="X261" s="15" t="s">
        <v>1138</v>
      </c>
      <c r="Y261" s="15" t="s">
        <v>1135</v>
      </c>
      <c r="Z261" s="15" t="s">
        <v>1139</v>
      </c>
      <c r="AA261" s="15" t="s">
        <v>2153</v>
      </c>
      <c r="AB261" s="13">
        <v>46073</v>
      </c>
      <c r="AC261" s="14"/>
    </row>
    <row r="262" spans="1:29" x14ac:dyDescent="0.35">
      <c r="A262" s="15">
        <v>261</v>
      </c>
      <c r="B262" s="15" t="s">
        <v>1998</v>
      </c>
      <c r="C262" s="16" t="s">
        <v>1999</v>
      </c>
      <c r="D262" s="15" t="s">
        <v>1002</v>
      </c>
      <c r="E262" s="13">
        <v>45947</v>
      </c>
      <c r="F262" s="15" t="s">
        <v>2000</v>
      </c>
      <c r="G262" s="13">
        <v>45947</v>
      </c>
      <c r="H262" s="15" t="s">
        <v>56</v>
      </c>
      <c r="I262" s="15" t="s">
        <v>1134</v>
      </c>
      <c r="J262" s="19"/>
      <c r="K262" s="15" t="s">
        <v>1135</v>
      </c>
      <c r="L262" s="15" t="s">
        <v>1135</v>
      </c>
      <c r="M262" s="18" t="s">
        <v>2002</v>
      </c>
      <c r="N262" s="15" t="s">
        <v>1135</v>
      </c>
      <c r="O262" s="15" t="s">
        <v>1778</v>
      </c>
      <c r="P262" s="19"/>
      <c r="Q262" s="19"/>
      <c r="R262" s="15">
        <v>36262013</v>
      </c>
      <c r="S262" s="15">
        <v>1</v>
      </c>
      <c r="T262" s="17">
        <v>6920</v>
      </c>
      <c r="U262" s="17">
        <f t="shared" si="4"/>
        <v>6920</v>
      </c>
      <c r="V262" s="15" t="s">
        <v>1138</v>
      </c>
      <c r="W262" s="15" t="s">
        <v>1138</v>
      </c>
      <c r="X262" s="15" t="s">
        <v>1138</v>
      </c>
      <c r="Y262" s="15" t="s">
        <v>1135</v>
      </c>
      <c r="Z262" s="15" t="s">
        <v>1139</v>
      </c>
      <c r="AA262" s="15" t="s">
        <v>2153</v>
      </c>
      <c r="AB262" s="13">
        <v>46073</v>
      </c>
      <c r="AC262" s="14"/>
    </row>
    <row r="263" spans="1:29" x14ac:dyDescent="0.35">
      <c r="A263" s="15">
        <v>262</v>
      </c>
      <c r="B263" s="15" t="s">
        <v>2003</v>
      </c>
      <c r="C263" s="16" t="s">
        <v>2004</v>
      </c>
      <c r="D263" s="15" t="s">
        <v>1004</v>
      </c>
      <c r="E263" s="13">
        <v>45948</v>
      </c>
      <c r="F263" s="15" t="s">
        <v>2005</v>
      </c>
      <c r="G263" s="13">
        <v>45948</v>
      </c>
      <c r="H263" s="15" t="s">
        <v>56</v>
      </c>
      <c r="I263" s="15" t="s">
        <v>1134</v>
      </c>
      <c r="J263" s="19"/>
      <c r="K263" s="15" t="s">
        <v>1135</v>
      </c>
      <c r="L263" s="15" t="s">
        <v>1135</v>
      </c>
      <c r="M263" s="18" t="s">
        <v>2006</v>
      </c>
      <c r="N263" s="18" t="s">
        <v>2007</v>
      </c>
      <c r="O263" s="15" t="s">
        <v>1421</v>
      </c>
      <c r="P263" s="19"/>
      <c r="Q263" s="19"/>
      <c r="R263" s="15">
        <v>36978252</v>
      </c>
      <c r="S263" s="15">
        <v>1</v>
      </c>
      <c r="T263" s="17">
        <v>6920</v>
      </c>
      <c r="U263" s="17">
        <f t="shared" si="4"/>
        <v>6920</v>
      </c>
      <c r="V263" s="15" t="s">
        <v>1138</v>
      </c>
      <c r="W263" s="15" t="s">
        <v>1138</v>
      </c>
      <c r="X263" s="15" t="s">
        <v>1138</v>
      </c>
      <c r="Y263" s="15" t="s">
        <v>1135</v>
      </c>
      <c r="Z263" s="15" t="s">
        <v>1139</v>
      </c>
      <c r="AA263" s="15" t="s">
        <v>2153</v>
      </c>
      <c r="AB263" s="13">
        <v>46073</v>
      </c>
      <c r="AC263" s="14"/>
    </row>
    <row r="264" spans="1:29" x14ac:dyDescent="0.35">
      <c r="A264" s="15">
        <v>263</v>
      </c>
      <c r="B264" s="15" t="s">
        <v>2008</v>
      </c>
      <c r="C264" s="16" t="s">
        <v>2009</v>
      </c>
      <c r="D264" s="15" t="s">
        <v>1006</v>
      </c>
      <c r="E264" s="13">
        <v>45948</v>
      </c>
      <c r="F264" s="15" t="s">
        <v>2010</v>
      </c>
      <c r="G264" s="13">
        <v>45948</v>
      </c>
      <c r="H264" s="15" t="s">
        <v>56</v>
      </c>
      <c r="I264" s="15" t="s">
        <v>1134</v>
      </c>
      <c r="J264" s="19"/>
      <c r="K264" s="15" t="s">
        <v>1135</v>
      </c>
      <c r="L264" s="15" t="s">
        <v>1135</v>
      </c>
      <c r="M264" s="18" t="s">
        <v>2011</v>
      </c>
      <c r="N264" s="18" t="s">
        <v>2012</v>
      </c>
      <c r="O264" s="15" t="s">
        <v>1778</v>
      </c>
      <c r="P264" s="19"/>
      <c r="Q264" s="19"/>
      <c r="R264" s="15">
        <v>36262013</v>
      </c>
      <c r="S264" s="15">
        <v>1</v>
      </c>
      <c r="T264" s="17">
        <v>6920</v>
      </c>
      <c r="U264" s="17">
        <f t="shared" si="4"/>
        <v>6920</v>
      </c>
      <c r="V264" s="15" t="s">
        <v>1138</v>
      </c>
      <c r="W264" s="15" t="s">
        <v>1138</v>
      </c>
      <c r="X264" s="15" t="s">
        <v>1138</v>
      </c>
      <c r="Y264" s="15" t="s">
        <v>1135</v>
      </c>
      <c r="Z264" s="15" t="s">
        <v>1139</v>
      </c>
      <c r="AA264" s="15" t="s">
        <v>2153</v>
      </c>
      <c r="AB264" s="13">
        <v>46073</v>
      </c>
      <c r="AC264" s="14"/>
    </row>
    <row r="265" spans="1:29" x14ac:dyDescent="0.35">
      <c r="A265" s="15">
        <v>264</v>
      </c>
      <c r="B265" s="15" t="s">
        <v>2013</v>
      </c>
      <c r="C265" s="16" t="s">
        <v>2014</v>
      </c>
      <c r="D265" s="15" t="s">
        <v>1011</v>
      </c>
      <c r="E265" s="13">
        <v>45954</v>
      </c>
      <c r="F265" s="15" t="s">
        <v>2015</v>
      </c>
      <c r="G265" s="13">
        <v>45954</v>
      </c>
      <c r="H265" s="15" t="s">
        <v>56</v>
      </c>
      <c r="I265" s="15" t="s">
        <v>1134</v>
      </c>
      <c r="J265" s="19"/>
      <c r="K265" s="15" t="s">
        <v>1135</v>
      </c>
      <c r="L265" s="15" t="s">
        <v>1135</v>
      </c>
      <c r="M265" s="15" t="s">
        <v>2016</v>
      </c>
      <c r="N265" s="18" t="s">
        <v>2017</v>
      </c>
      <c r="O265" s="15" t="s">
        <v>1617</v>
      </c>
      <c r="P265" s="19"/>
      <c r="Q265" s="19"/>
      <c r="R265" s="15">
        <v>34711272</v>
      </c>
      <c r="S265" s="15">
        <v>1</v>
      </c>
      <c r="T265" s="17">
        <v>6920</v>
      </c>
      <c r="U265" s="17">
        <f t="shared" si="4"/>
        <v>6920</v>
      </c>
      <c r="V265" s="15" t="s">
        <v>1138</v>
      </c>
      <c r="W265" s="15" t="s">
        <v>1138</v>
      </c>
      <c r="X265" s="15" t="s">
        <v>1138</v>
      </c>
      <c r="Y265" s="15" t="s">
        <v>1135</v>
      </c>
      <c r="Z265" s="15" t="s">
        <v>1139</v>
      </c>
      <c r="AA265" s="15" t="s">
        <v>2153</v>
      </c>
      <c r="AB265" s="13">
        <v>46073</v>
      </c>
      <c r="AC265" s="14"/>
    </row>
    <row r="266" spans="1:29" x14ac:dyDescent="0.35">
      <c r="A266" s="15">
        <v>265</v>
      </c>
      <c r="B266" s="15" t="s">
        <v>2018</v>
      </c>
      <c r="C266" s="16" t="s">
        <v>2019</v>
      </c>
      <c r="D266" s="15" t="s">
        <v>1013</v>
      </c>
      <c r="E266" s="13">
        <v>45954</v>
      </c>
      <c r="F266" s="15" t="s">
        <v>2020</v>
      </c>
      <c r="G266" s="13">
        <v>45954</v>
      </c>
      <c r="H266" s="15" t="s">
        <v>56</v>
      </c>
      <c r="I266" s="15" t="s">
        <v>1134</v>
      </c>
      <c r="J266" s="19"/>
      <c r="K266" s="15" t="s">
        <v>1135</v>
      </c>
      <c r="L266" s="15" t="s">
        <v>1135</v>
      </c>
      <c r="M266" s="18" t="s">
        <v>2021</v>
      </c>
      <c r="N266" s="18" t="s">
        <v>2022</v>
      </c>
      <c r="O266" s="15" t="s">
        <v>1472</v>
      </c>
      <c r="P266" s="19"/>
      <c r="Q266" s="19"/>
      <c r="R266" s="15">
        <v>36261944</v>
      </c>
      <c r="S266" s="15">
        <v>1</v>
      </c>
      <c r="T266" s="17">
        <v>6920</v>
      </c>
      <c r="U266" s="17">
        <f t="shared" si="4"/>
        <v>6920</v>
      </c>
      <c r="V266" s="15" t="s">
        <v>1138</v>
      </c>
      <c r="W266" s="15" t="s">
        <v>1138</v>
      </c>
      <c r="X266" s="15" t="s">
        <v>1138</v>
      </c>
      <c r="Y266" s="15" t="s">
        <v>1135</v>
      </c>
      <c r="Z266" s="15" t="s">
        <v>1139</v>
      </c>
      <c r="AA266" s="15" t="s">
        <v>2153</v>
      </c>
      <c r="AB266" s="13">
        <v>46073</v>
      </c>
      <c r="AC266" s="14"/>
    </row>
    <row r="267" spans="1:29" x14ac:dyDescent="0.35">
      <c r="A267" s="15">
        <v>266</v>
      </c>
      <c r="B267" s="15" t="s">
        <v>2023</v>
      </c>
      <c r="C267" s="16" t="s">
        <v>2024</v>
      </c>
      <c r="D267" s="15" t="s">
        <v>1016</v>
      </c>
      <c r="E267" s="13">
        <v>45955</v>
      </c>
      <c r="F267" s="15" t="s">
        <v>2025</v>
      </c>
      <c r="G267" s="13">
        <v>45955</v>
      </c>
      <c r="H267" s="15" t="s">
        <v>56</v>
      </c>
      <c r="I267" s="18" t="s">
        <v>1134</v>
      </c>
      <c r="J267" s="19"/>
      <c r="K267" s="15" t="s">
        <v>1135</v>
      </c>
      <c r="L267" s="15" t="s">
        <v>1135</v>
      </c>
      <c r="M267" s="15" t="s">
        <v>2026</v>
      </c>
      <c r="N267" s="15" t="s">
        <v>1135</v>
      </c>
      <c r="O267" s="15" t="s">
        <v>756</v>
      </c>
      <c r="P267" s="19"/>
      <c r="Q267" s="19"/>
      <c r="R267" s="15">
        <v>35711805</v>
      </c>
      <c r="S267" s="15">
        <v>1</v>
      </c>
      <c r="T267" s="17">
        <v>6920</v>
      </c>
      <c r="U267" s="17">
        <f t="shared" si="4"/>
        <v>6920</v>
      </c>
      <c r="V267" s="15" t="s">
        <v>1138</v>
      </c>
      <c r="W267" s="15" t="s">
        <v>1138</v>
      </c>
      <c r="X267" s="15" t="s">
        <v>1138</v>
      </c>
      <c r="Y267" s="15" t="s">
        <v>1135</v>
      </c>
      <c r="Z267" s="15" t="s">
        <v>1139</v>
      </c>
      <c r="AA267" s="15" t="s">
        <v>2153</v>
      </c>
      <c r="AB267" s="13">
        <v>46073</v>
      </c>
      <c r="AC267" s="14"/>
    </row>
    <row r="268" spans="1:29" x14ac:dyDescent="0.35">
      <c r="A268" s="15">
        <v>267</v>
      </c>
      <c r="B268" s="15" t="s">
        <v>2023</v>
      </c>
      <c r="C268" s="16" t="s">
        <v>2024</v>
      </c>
      <c r="D268" s="15" t="s">
        <v>1016</v>
      </c>
      <c r="E268" s="13">
        <v>45955</v>
      </c>
      <c r="F268" s="15" t="s">
        <v>2025</v>
      </c>
      <c r="G268" s="13">
        <v>45955</v>
      </c>
      <c r="H268" s="15" t="s">
        <v>56</v>
      </c>
      <c r="I268" s="18" t="s">
        <v>1134</v>
      </c>
      <c r="J268" s="19"/>
      <c r="K268" s="15" t="s">
        <v>1135</v>
      </c>
      <c r="L268" s="15" t="s">
        <v>1135</v>
      </c>
      <c r="M268" s="18" t="s">
        <v>2027</v>
      </c>
      <c r="N268" s="15" t="s">
        <v>1135</v>
      </c>
      <c r="O268" s="15" t="s">
        <v>1824</v>
      </c>
      <c r="P268" s="19"/>
      <c r="Q268" s="19"/>
      <c r="R268" s="15">
        <v>35664475</v>
      </c>
      <c r="S268" s="15">
        <v>1</v>
      </c>
      <c r="T268" s="17">
        <v>38933.129999999997</v>
      </c>
      <c r="U268" s="17">
        <f t="shared" si="4"/>
        <v>38933.129999999997</v>
      </c>
      <c r="V268" s="15" t="s">
        <v>1138</v>
      </c>
      <c r="W268" s="15" t="s">
        <v>1138</v>
      </c>
      <c r="X268" s="15" t="s">
        <v>1138</v>
      </c>
      <c r="Y268" s="15" t="s">
        <v>1135</v>
      </c>
      <c r="Z268" s="15" t="s">
        <v>1139</v>
      </c>
      <c r="AA268" s="15" t="s">
        <v>2153</v>
      </c>
      <c r="AB268" s="13">
        <v>46073</v>
      </c>
      <c r="AC268" s="14"/>
    </row>
    <row r="269" spans="1:29" x14ac:dyDescent="0.35">
      <c r="A269" s="15">
        <v>268</v>
      </c>
      <c r="B269" s="15" t="s">
        <v>2028</v>
      </c>
      <c r="C269" s="16" t="s">
        <v>2029</v>
      </c>
      <c r="D269" s="15" t="s">
        <v>1019</v>
      </c>
      <c r="E269" s="13">
        <v>45955</v>
      </c>
      <c r="F269" s="15" t="s">
        <v>2030</v>
      </c>
      <c r="G269" s="15" t="s">
        <v>1135</v>
      </c>
      <c r="H269" s="15" t="s">
        <v>56</v>
      </c>
      <c r="I269" s="15" t="s">
        <v>1134</v>
      </c>
      <c r="J269" s="19"/>
      <c r="K269" s="15" t="s">
        <v>1135</v>
      </c>
      <c r="L269" s="15" t="s">
        <v>1135</v>
      </c>
      <c r="M269" s="18" t="s">
        <v>2031</v>
      </c>
      <c r="N269" s="15" t="s">
        <v>1135</v>
      </c>
      <c r="O269" s="15" t="s">
        <v>169</v>
      </c>
      <c r="P269" s="19"/>
      <c r="Q269" s="19"/>
      <c r="R269" s="15">
        <v>36729117</v>
      </c>
      <c r="S269" s="15">
        <v>1</v>
      </c>
      <c r="T269" s="17">
        <v>3571</v>
      </c>
      <c r="U269" s="17">
        <f t="shared" si="4"/>
        <v>3571</v>
      </c>
      <c r="V269" s="15" t="s">
        <v>1138</v>
      </c>
      <c r="W269" s="15" t="s">
        <v>1138</v>
      </c>
      <c r="X269" s="15" t="s">
        <v>1138</v>
      </c>
      <c r="Y269" s="15" t="s">
        <v>1135</v>
      </c>
      <c r="Z269" s="15" t="s">
        <v>1139</v>
      </c>
      <c r="AA269" s="15" t="s">
        <v>2153</v>
      </c>
      <c r="AB269" s="13">
        <v>46073</v>
      </c>
      <c r="AC269" s="14"/>
    </row>
    <row r="270" spans="1:29" x14ac:dyDescent="0.35">
      <c r="A270" s="15">
        <v>269</v>
      </c>
      <c r="B270" s="15" t="s">
        <v>2032</v>
      </c>
      <c r="C270" s="16" t="s">
        <v>2033</v>
      </c>
      <c r="D270" s="15" t="s">
        <v>1022</v>
      </c>
      <c r="E270" s="13">
        <v>45955</v>
      </c>
      <c r="F270" s="15" t="s">
        <v>2034</v>
      </c>
      <c r="G270" s="13">
        <v>45955</v>
      </c>
      <c r="H270" s="15" t="s">
        <v>56</v>
      </c>
      <c r="I270" s="18" t="s">
        <v>1134</v>
      </c>
      <c r="J270" s="19"/>
      <c r="K270" s="15" t="s">
        <v>1135</v>
      </c>
      <c r="L270" s="15" t="s">
        <v>1135</v>
      </c>
      <c r="M270" s="15" t="s">
        <v>2035</v>
      </c>
      <c r="N270" s="18" t="s">
        <v>2036</v>
      </c>
      <c r="O270" s="15" t="s">
        <v>1373</v>
      </c>
      <c r="P270" s="19"/>
      <c r="Q270" s="19"/>
      <c r="R270" s="15">
        <v>35532896</v>
      </c>
      <c r="S270" s="15">
        <v>1</v>
      </c>
      <c r="T270" s="17">
        <v>19500</v>
      </c>
      <c r="U270" s="17">
        <f t="shared" si="4"/>
        <v>19500</v>
      </c>
      <c r="V270" s="15" t="s">
        <v>1138</v>
      </c>
      <c r="W270" s="15" t="s">
        <v>1138</v>
      </c>
      <c r="X270" s="15" t="s">
        <v>1138</v>
      </c>
      <c r="Y270" s="15" t="s">
        <v>1135</v>
      </c>
      <c r="Z270" s="15" t="s">
        <v>1139</v>
      </c>
      <c r="AA270" s="15" t="s">
        <v>2153</v>
      </c>
      <c r="AB270" s="13">
        <v>46073</v>
      </c>
      <c r="AC270" s="14"/>
    </row>
    <row r="271" spans="1:29" x14ac:dyDescent="0.35">
      <c r="A271" s="15">
        <v>270</v>
      </c>
      <c r="B271" s="15" t="s">
        <v>2037</v>
      </c>
      <c r="C271" s="16" t="s">
        <v>2038</v>
      </c>
      <c r="D271" s="15" t="s">
        <v>1024</v>
      </c>
      <c r="E271" s="13">
        <v>45955</v>
      </c>
      <c r="F271" s="15" t="s">
        <v>2039</v>
      </c>
      <c r="G271" s="13">
        <v>45955</v>
      </c>
      <c r="H271" s="15" t="s">
        <v>56</v>
      </c>
      <c r="I271" s="15" t="s">
        <v>1134</v>
      </c>
      <c r="J271" s="19"/>
      <c r="K271" s="15" t="s">
        <v>1135</v>
      </c>
      <c r="L271" s="15" t="s">
        <v>1135</v>
      </c>
      <c r="M271" s="18" t="s">
        <v>2040</v>
      </c>
      <c r="N271" s="18" t="s">
        <v>2041</v>
      </c>
      <c r="O271" s="15" t="s">
        <v>493</v>
      </c>
      <c r="P271" s="19"/>
      <c r="Q271" s="19"/>
      <c r="R271" s="15">
        <v>36673309</v>
      </c>
      <c r="S271" s="15">
        <v>1</v>
      </c>
      <c r="T271" s="17">
        <v>3572</v>
      </c>
      <c r="U271" s="17">
        <f t="shared" si="4"/>
        <v>3572</v>
      </c>
      <c r="V271" s="15" t="s">
        <v>1138</v>
      </c>
      <c r="W271" s="15" t="s">
        <v>1138</v>
      </c>
      <c r="X271" s="15" t="s">
        <v>1138</v>
      </c>
      <c r="Y271" s="15" t="s">
        <v>1135</v>
      </c>
      <c r="Z271" s="15" t="s">
        <v>1139</v>
      </c>
      <c r="AA271" s="15" t="s">
        <v>2153</v>
      </c>
      <c r="AB271" s="13">
        <v>46073</v>
      </c>
      <c r="AC271" s="14"/>
    </row>
    <row r="272" spans="1:29" x14ac:dyDescent="0.35">
      <c r="A272" s="15">
        <v>271</v>
      </c>
      <c r="B272" s="15" t="s">
        <v>2032</v>
      </c>
      <c r="C272" s="16" t="s">
        <v>2033</v>
      </c>
      <c r="D272" s="15" t="s">
        <v>1022</v>
      </c>
      <c r="E272" s="13">
        <v>45955</v>
      </c>
      <c r="F272" s="15" t="s">
        <v>2034</v>
      </c>
      <c r="G272" s="13">
        <v>45955</v>
      </c>
      <c r="H272" s="15" t="s">
        <v>56</v>
      </c>
      <c r="I272" s="18" t="s">
        <v>1134</v>
      </c>
      <c r="J272" s="19"/>
      <c r="K272" s="15" t="s">
        <v>1135</v>
      </c>
      <c r="L272" s="15" t="s">
        <v>1135</v>
      </c>
      <c r="M272" s="18" t="s">
        <v>2042</v>
      </c>
      <c r="N272" s="18" t="s">
        <v>2036</v>
      </c>
      <c r="O272" s="15" t="s">
        <v>1414</v>
      </c>
      <c r="P272" s="19"/>
      <c r="Q272" s="19"/>
      <c r="R272" s="15">
        <v>36317714</v>
      </c>
      <c r="S272" s="15">
        <v>1</v>
      </c>
      <c r="T272" s="17">
        <v>6920</v>
      </c>
      <c r="U272" s="17">
        <f t="shared" si="4"/>
        <v>6920</v>
      </c>
      <c r="V272" s="15" t="s">
        <v>1138</v>
      </c>
      <c r="W272" s="15" t="s">
        <v>1138</v>
      </c>
      <c r="X272" s="15" t="s">
        <v>1138</v>
      </c>
      <c r="Y272" s="15" t="s">
        <v>1135</v>
      </c>
      <c r="Z272" s="15" t="s">
        <v>1139</v>
      </c>
      <c r="AA272" s="15" t="s">
        <v>2153</v>
      </c>
      <c r="AB272" s="13">
        <v>46073</v>
      </c>
      <c r="AC272" s="14"/>
    </row>
    <row r="273" spans="1:29" x14ac:dyDescent="0.35">
      <c r="A273" s="15">
        <v>272</v>
      </c>
      <c r="B273" s="15" t="s">
        <v>2043</v>
      </c>
      <c r="C273" s="16" t="s">
        <v>2044</v>
      </c>
      <c r="D273" s="15" t="s">
        <v>1026</v>
      </c>
      <c r="E273" s="13">
        <v>45955</v>
      </c>
      <c r="F273" s="15" t="s">
        <v>2045</v>
      </c>
      <c r="G273" s="13">
        <v>45955</v>
      </c>
      <c r="H273" s="15" t="s">
        <v>56</v>
      </c>
      <c r="I273" s="18" t="s">
        <v>1134</v>
      </c>
      <c r="J273" s="19"/>
      <c r="K273" s="15" t="s">
        <v>1135</v>
      </c>
      <c r="L273" s="15" t="s">
        <v>1135</v>
      </c>
      <c r="M273" s="18" t="s">
        <v>2046</v>
      </c>
      <c r="N273" s="18" t="s">
        <v>2047</v>
      </c>
      <c r="O273" s="15" t="s">
        <v>493</v>
      </c>
      <c r="P273" s="19"/>
      <c r="Q273" s="19"/>
      <c r="R273" s="15">
        <v>36673309</v>
      </c>
      <c r="S273" s="15">
        <v>1</v>
      </c>
      <c r="T273" s="17">
        <v>3572</v>
      </c>
      <c r="U273" s="17">
        <f t="shared" si="4"/>
        <v>3572</v>
      </c>
      <c r="V273" s="15" t="s">
        <v>1138</v>
      </c>
      <c r="W273" s="15" t="s">
        <v>1138</v>
      </c>
      <c r="X273" s="15" t="s">
        <v>1138</v>
      </c>
      <c r="Y273" s="15" t="s">
        <v>1135</v>
      </c>
      <c r="Z273" s="15" t="s">
        <v>1139</v>
      </c>
      <c r="AA273" s="15" t="s">
        <v>2153</v>
      </c>
      <c r="AB273" s="13">
        <v>46073</v>
      </c>
      <c r="AC273" s="14"/>
    </row>
    <row r="274" spans="1:29" x14ac:dyDescent="0.35">
      <c r="A274" s="15">
        <v>273</v>
      </c>
      <c r="B274" s="15" t="s">
        <v>2048</v>
      </c>
      <c r="C274" s="16" t="s">
        <v>2049</v>
      </c>
      <c r="D274" s="15" t="s">
        <v>1032</v>
      </c>
      <c r="E274" s="13">
        <v>45957</v>
      </c>
      <c r="F274" s="15" t="s">
        <v>2050</v>
      </c>
      <c r="G274" s="13">
        <v>45957</v>
      </c>
      <c r="H274" s="15" t="s">
        <v>56</v>
      </c>
      <c r="I274" s="15" t="s">
        <v>1134</v>
      </c>
      <c r="J274" s="19"/>
      <c r="K274" s="15" t="s">
        <v>1135</v>
      </c>
      <c r="L274" s="15" t="s">
        <v>1135</v>
      </c>
      <c r="M274" s="15" t="s">
        <v>2051</v>
      </c>
      <c r="N274" s="15" t="s">
        <v>1135</v>
      </c>
      <c r="O274" s="15" t="s">
        <v>2052</v>
      </c>
      <c r="P274" s="19"/>
      <c r="Q274" s="19"/>
      <c r="R274" s="15">
        <v>35212580</v>
      </c>
      <c r="S274" s="15">
        <v>1</v>
      </c>
      <c r="T274" s="17">
        <v>38933.129999999997</v>
      </c>
      <c r="U274" s="17">
        <f t="shared" si="4"/>
        <v>38933.129999999997</v>
      </c>
      <c r="V274" s="15" t="s">
        <v>1138</v>
      </c>
      <c r="W274" s="15" t="s">
        <v>1138</v>
      </c>
      <c r="X274" s="15" t="s">
        <v>1138</v>
      </c>
      <c r="Y274" s="15" t="s">
        <v>1135</v>
      </c>
      <c r="Z274" s="15" t="s">
        <v>1139</v>
      </c>
      <c r="AA274" s="15" t="s">
        <v>2153</v>
      </c>
      <c r="AB274" s="13">
        <v>46073</v>
      </c>
      <c r="AC274" s="14"/>
    </row>
    <row r="275" spans="1:29" x14ac:dyDescent="0.35">
      <c r="A275" s="15">
        <v>274</v>
      </c>
      <c r="B275" s="15" t="s">
        <v>2048</v>
      </c>
      <c r="C275" s="16" t="s">
        <v>2049</v>
      </c>
      <c r="D275" s="15" t="s">
        <v>1032</v>
      </c>
      <c r="E275" s="13">
        <v>45957</v>
      </c>
      <c r="F275" s="15" t="s">
        <v>2050</v>
      </c>
      <c r="G275" s="13">
        <v>45957</v>
      </c>
      <c r="H275" s="15" t="s">
        <v>56</v>
      </c>
      <c r="I275" s="15" t="s">
        <v>1134</v>
      </c>
      <c r="J275" s="19"/>
      <c r="K275" s="15" t="s">
        <v>1135</v>
      </c>
      <c r="L275" s="15" t="s">
        <v>1135</v>
      </c>
      <c r="M275" s="15" t="s">
        <v>2053</v>
      </c>
      <c r="N275" s="15" t="s">
        <v>1135</v>
      </c>
      <c r="O275" s="15" t="s">
        <v>1281</v>
      </c>
      <c r="P275" s="19"/>
      <c r="Q275" s="19"/>
      <c r="R275" s="15">
        <v>35514786</v>
      </c>
      <c r="S275" s="15">
        <v>1</v>
      </c>
      <c r="T275" s="17">
        <v>38933.129999999997</v>
      </c>
      <c r="U275" s="17">
        <f t="shared" si="4"/>
        <v>38933.129999999997</v>
      </c>
      <c r="V275" s="15" t="s">
        <v>1138</v>
      </c>
      <c r="W275" s="15" t="s">
        <v>1138</v>
      </c>
      <c r="X275" s="15" t="s">
        <v>1138</v>
      </c>
      <c r="Y275" s="15" t="s">
        <v>1135</v>
      </c>
      <c r="Z275" s="15" t="s">
        <v>1139</v>
      </c>
      <c r="AA275" s="15" t="s">
        <v>2153</v>
      </c>
      <c r="AB275" s="13">
        <v>46073</v>
      </c>
      <c r="AC275" s="14"/>
    </row>
    <row r="276" spans="1:29" x14ac:dyDescent="0.35">
      <c r="A276" s="15">
        <v>275</v>
      </c>
      <c r="B276" s="15" t="s">
        <v>2054</v>
      </c>
      <c r="C276" s="16" t="s">
        <v>2055</v>
      </c>
      <c r="D276" s="15" t="s">
        <v>1036</v>
      </c>
      <c r="E276" s="13">
        <v>45957</v>
      </c>
      <c r="F276" s="15" t="s">
        <v>2056</v>
      </c>
      <c r="G276" s="13">
        <v>45957</v>
      </c>
      <c r="H276" s="15" t="s">
        <v>56</v>
      </c>
      <c r="I276" s="15" t="s">
        <v>1134</v>
      </c>
      <c r="J276" s="19"/>
      <c r="K276" s="15" t="s">
        <v>1135</v>
      </c>
      <c r="L276" s="15" t="s">
        <v>1135</v>
      </c>
      <c r="M276" s="18" t="s">
        <v>2057</v>
      </c>
      <c r="N276" s="18" t="s">
        <v>2058</v>
      </c>
      <c r="O276" s="15" t="s">
        <v>1315</v>
      </c>
      <c r="P276" s="19"/>
      <c r="Q276" s="19"/>
      <c r="R276" s="15">
        <v>35712210</v>
      </c>
      <c r="S276" s="15">
        <v>1</v>
      </c>
      <c r="T276" s="17">
        <v>6920</v>
      </c>
      <c r="U276" s="17">
        <f t="shared" si="4"/>
        <v>6920</v>
      </c>
      <c r="V276" s="15" t="s">
        <v>1138</v>
      </c>
      <c r="W276" s="15" t="s">
        <v>1138</v>
      </c>
      <c r="X276" s="15" t="s">
        <v>1138</v>
      </c>
      <c r="Y276" s="15" t="s">
        <v>1135</v>
      </c>
      <c r="Z276" s="15" t="s">
        <v>1139</v>
      </c>
      <c r="AA276" s="15" t="s">
        <v>2153</v>
      </c>
      <c r="AB276" s="13">
        <v>46073</v>
      </c>
      <c r="AC276" s="14"/>
    </row>
    <row r="277" spans="1:29" x14ac:dyDescent="0.35">
      <c r="A277" s="15">
        <v>276</v>
      </c>
      <c r="B277" s="15" t="s">
        <v>2059</v>
      </c>
      <c r="C277" s="16" t="s">
        <v>2060</v>
      </c>
      <c r="D277" s="15" t="s">
        <v>1039</v>
      </c>
      <c r="E277" s="13">
        <v>45957</v>
      </c>
      <c r="F277" s="15" t="s">
        <v>2061</v>
      </c>
      <c r="G277" s="13">
        <v>45957</v>
      </c>
      <c r="H277" s="15" t="s">
        <v>56</v>
      </c>
      <c r="I277" s="15" t="s">
        <v>1134</v>
      </c>
      <c r="J277" s="19"/>
      <c r="K277" s="15" t="s">
        <v>1135</v>
      </c>
      <c r="L277" s="15" t="s">
        <v>1135</v>
      </c>
      <c r="M277" s="18" t="s">
        <v>2062</v>
      </c>
      <c r="N277" s="15" t="s">
        <v>1135</v>
      </c>
      <c r="O277" s="15" t="s">
        <v>169</v>
      </c>
      <c r="P277" s="19"/>
      <c r="Q277" s="19"/>
      <c r="R277" s="15">
        <v>35663189</v>
      </c>
      <c r="S277" s="15">
        <v>1</v>
      </c>
      <c r="T277" s="17">
        <v>3571</v>
      </c>
      <c r="U277" s="17">
        <f t="shared" si="4"/>
        <v>3571</v>
      </c>
      <c r="V277" s="15" t="s">
        <v>1138</v>
      </c>
      <c r="W277" s="15" t="s">
        <v>1138</v>
      </c>
      <c r="X277" s="15" t="s">
        <v>1138</v>
      </c>
      <c r="Y277" s="15" t="s">
        <v>1135</v>
      </c>
      <c r="Z277" s="15" t="s">
        <v>1139</v>
      </c>
      <c r="AA277" s="15" t="s">
        <v>2153</v>
      </c>
      <c r="AB277" s="13">
        <v>46073</v>
      </c>
      <c r="AC277" s="14"/>
    </row>
    <row r="278" spans="1:29" x14ac:dyDescent="0.35">
      <c r="A278" s="15">
        <v>277</v>
      </c>
      <c r="B278" s="15" t="s">
        <v>2063</v>
      </c>
      <c r="C278" s="16" t="s">
        <v>2064</v>
      </c>
      <c r="D278" s="15" t="s">
        <v>1041</v>
      </c>
      <c r="E278" s="13">
        <v>45957</v>
      </c>
      <c r="F278" s="15" t="s">
        <v>2065</v>
      </c>
      <c r="G278" s="13">
        <v>45957</v>
      </c>
      <c r="H278" s="15" t="s">
        <v>56</v>
      </c>
      <c r="I278" s="18" t="s">
        <v>1134</v>
      </c>
      <c r="J278" s="19"/>
      <c r="K278" s="15" t="s">
        <v>1135</v>
      </c>
      <c r="L278" s="15" t="s">
        <v>1135</v>
      </c>
      <c r="M278" s="18" t="s">
        <v>2066</v>
      </c>
      <c r="N278" s="18" t="s">
        <v>2067</v>
      </c>
      <c r="O278" s="15" t="s">
        <v>1414</v>
      </c>
      <c r="P278" s="19"/>
      <c r="Q278" s="19"/>
      <c r="R278" s="15">
        <v>36317714</v>
      </c>
      <c r="S278" s="15">
        <v>1</v>
      </c>
      <c r="T278" s="17">
        <v>6920</v>
      </c>
      <c r="U278" s="17">
        <f t="shared" si="4"/>
        <v>6920</v>
      </c>
      <c r="V278" s="15" t="s">
        <v>1138</v>
      </c>
      <c r="W278" s="15" t="s">
        <v>1138</v>
      </c>
      <c r="X278" s="15" t="s">
        <v>1138</v>
      </c>
      <c r="Y278" s="15" t="s">
        <v>1135</v>
      </c>
      <c r="Z278" s="15" t="s">
        <v>1139</v>
      </c>
      <c r="AA278" s="15" t="s">
        <v>2153</v>
      </c>
      <c r="AB278" s="13">
        <v>46073</v>
      </c>
      <c r="AC278" s="14"/>
    </row>
    <row r="279" spans="1:29" x14ac:dyDescent="0.35">
      <c r="A279" s="15">
        <v>278</v>
      </c>
      <c r="B279" s="15" t="s">
        <v>2068</v>
      </c>
      <c r="C279" s="16" t="s">
        <v>2069</v>
      </c>
      <c r="D279" s="15" t="s">
        <v>1049</v>
      </c>
      <c r="E279" s="13">
        <v>45958</v>
      </c>
      <c r="F279" s="15" t="s">
        <v>2070</v>
      </c>
      <c r="G279" s="13">
        <v>45958</v>
      </c>
      <c r="H279" s="15" t="s">
        <v>56</v>
      </c>
      <c r="I279" s="15" t="s">
        <v>1134</v>
      </c>
      <c r="J279" s="19"/>
      <c r="K279" s="15" t="s">
        <v>1135</v>
      </c>
      <c r="L279" s="15" t="s">
        <v>1135</v>
      </c>
      <c r="M279" s="18" t="s">
        <v>2071</v>
      </c>
      <c r="N279" s="18" t="s">
        <v>2072</v>
      </c>
      <c r="O279" s="15" t="s">
        <v>1213</v>
      </c>
      <c r="P279" s="19"/>
      <c r="Q279" s="19"/>
      <c r="R279" s="15">
        <v>36317698</v>
      </c>
      <c r="S279" s="15">
        <v>1</v>
      </c>
      <c r="T279" s="17">
        <v>6920</v>
      </c>
      <c r="U279" s="17">
        <f t="shared" si="4"/>
        <v>6920</v>
      </c>
      <c r="V279" s="15" t="s">
        <v>1138</v>
      </c>
      <c r="W279" s="15" t="s">
        <v>1138</v>
      </c>
      <c r="X279" s="15" t="s">
        <v>1138</v>
      </c>
      <c r="Y279" s="15" t="s">
        <v>1135</v>
      </c>
      <c r="Z279" s="15" t="s">
        <v>1139</v>
      </c>
      <c r="AA279" s="15" t="s">
        <v>2153</v>
      </c>
      <c r="AB279" s="13">
        <v>46073</v>
      </c>
      <c r="AC279" s="14"/>
    </row>
    <row r="280" spans="1:29" x14ac:dyDescent="0.35">
      <c r="A280" s="15">
        <v>279</v>
      </c>
      <c r="B280" s="15" t="s">
        <v>2073</v>
      </c>
      <c r="C280" s="16" t="s">
        <v>2074</v>
      </c>
      <c r="D280" s="15" t="s">
        <v>1052</v>
      </c>
      <c r="E280" s="13">
        <v>45958</v>
      </c>
      <c r="F280" s="15" t="s">
        <v>2075</v>
      </c>
      <c r="G280" s="13">
        <v>45958</v>
      </c>
      <c r="H280" s="15" t="s">
        <v>56</v>
      </c>
      <c r="I280" s="15" t="s">
        <v>1134</v>
      </c>
      <c r="J280" s="19"/>
      <c r="K280" s="15" t="s">
        <v>1135</v>
      </c>
      <c r="L280" s="15" t="s">
        <v>1135</v>
      </c>
      <c r="M280" s="18" t="s">
        <v>2076</v>
      </c>
      <c r="N280" s="18" t="s">
        <v>2077</v>
      </c>
      <c r="O280" s="15" t="s">
        <v>519</v>
      </c>
      <c r="P280" s="19"/>
      <c r="Q280" s="19"/>
      <c r="R280" s="15">
        <v>36317205</v>
      </c>
      <c r="S280" s="15">
        <v>1</v>
      </c>
      <c r="T280" s="17">
        <v>3571</v>
      </c>
      <c r="U280" s="17">
        <f t="shared" si="4"/>
        <v>3571</v>
      </c>
      <c r="V280" s="15" t="s">
        <v>1138</v>
      </c>
      <c r="W280" s="15" t="s">
        <v>1138</v>
      </c>
      <c r="X280" s="15" t="s">
        <v>1138</v>
      </c>
      <c r="Y280" s="15" t="s">
        <v>1135</v>
      </c>
      <c r="Z280" s="15" t="s">
        <v>1139</v>
      </c>
      <c r="AA280" s="15" t="s">
        <v>2153</v>
      </c>
      <c r="AB280" s="13">
        <v>46073</v>
      </c>
      <c r="AC280" s="14"/>
    </row>
    <row r="281" spans="1:29" x14ac:dyDescent="0.35">
      <c r="A281" s="15">
        <v>280</v>
      </c>
      <c r="B281" s="15" t="s">
        <v>2078</v>
      </c>
      <c r="C281" s="16" t="s">
        <v>2079</v>
      </c>
      <c r="D281" s="15" t="s">
        <v>1046</v>
      </c>
      <c r="E281" s="13">
        <v>45958</v>
      </c>
      <c r="F281" s="15" t="s">
        <v>2080</v>
      </c>
      <c r="G281" s="13">
        <v>45958</v>
      </c>
      <c r="H281" s="15" t="s">
        <v>56</v>
      </c>
      <c r="I281" s="18" t="s">
        <v>1134</v>
      </c>
      <c r="J281" s="19"/>
      <c r="K281" s="15" t="s">
        <v>1135</v>
      </c>
      <c r="L281" s="15" t="s">
        <v>1135</v>
      </c>
      <c r="M281" s="18" t="s">
        <v>2081</v>
      </c>
      <c r="N281" s="15" t="s">
        <v>1135</v>
      </c>
      <c r="O281" s="15" t="s">
        <v>2082</v>
      </c>
      <c r="P281" s="19"/>
      <c r="Q281" s="19"/>
      <c r="R281" s="15">
        <v>34250816</v>
      </c>
      <c r="S281" s="15">
        <v>1</v>
      </c>
      <c r="T281" s="17">
        <v>38933.129999999997</v>
      </c>
      <c r="U281" s="17">
        <f t="shared" si="4"/>
        <v>38933.129999999997</v>
      </c>
      <c r="V281" s="15" t="s">
        <v>1138</v>
      </c>
      <c r="W281" s="15" t="s">
        <v>1138</v>
      </c>
      <c r="X281" s="15" t="s">
        <v>1138</v>
      </c>
      <c r="Y281" s="15" t="s">
        <v>1135</v>
      </c>
      <c r="Z281" s="15" t="s">
        <v>1139</v>
      </c>
      <c r="AA281" s="15" t="s">
        <v>2153</v>
      </c>
      <c r="AB281" s="13">
        <v>46073</v>
      </c>
      <c r="AC281" s="14"/>
    </row>
    <row r="282" spans="1:29" x14ac:dyDescent="0.35">
      <c r="A282" s="15">
        <v>281</v>
      </c>
      <c r="B282" s="15" t="s">
        <v>2078</v>
      </c>
      <c r="C282" s="16" t="s">
        <v>2079</v>
      </c>
      <c r="D282" s="15" t="s">
        <v>1046</v>
      </c>
      <c r="E282" s="13">
        <v>45958</v>
      </c>
      <c r="F282" s="15" t="s">
        <v>2080</v>
      </c>
      <c r="G282" s="13">
        <v>45958</v>
      </c>
      <c r="H282" s="15" t="s">
        <v>56</v>
      </c>
      <c r="I282" s="18" t="s">
        <v>1134</v>
      </c>
      <c r="J282" s="19"/>
      <c r="K282" s="15" t="s">
        <v>1135</v>
      </c>
      <c r="L282" s="15" t="s">
        <v>1135</v>
      </c>
      <c r="M282" s="18" t="s">
        <v>2083</v>
      </c>
      <c r="N282" s="15" t="s">
        <v>1135</v>
      </c>
      <c r="O282" s="15" t="s">
        <v>2084</v>
      </c>
      <c r="P282" s="19"/>
      <c r="Q282" s="19"/>
      <c r="R282" s="15">
        <v>36978252</v>
      </c>
      <c r="S282" s="15">
        <v>1</v>
      </c>
      <c r="T282" s="17">
        <v>6920</v>
      </c>
      <c r="U282" s="17">
        <f t="shared" si="4"/>
        <v>6920</v>
      </c>
      <c r="V282" s="15" t="s">
        <v>1138</v>
      </c>
      <c r="W282" s="15" t="s">
        <v>1138</v>
      </c>
      <c r="X282" s="15" t="s">
        <v>1138</v>
      </c>
      <c r="Y282" s="15" t="s">
        <v>1135</v>
      </c>
      <c r="Z282" s="15" t="s">
        <v>1139</v>
      </c>
      <c r="AA282" s="15" t="s">
        <v>2153</v>
      </c>
      <c r="AB282" s="13">
        <v>46073</v>
      </c>
      <c r="AC282" s="14"/>
    </row>
    <row r="283" spans="1:29" x14ac:dyDescent="0.35">
      <c r="A283" s="15">
        <v>282</v>
      </c>
      <c r="B283" s="15" t="s">
        <v>2078</v>
      </c>
      <c r="C283" s="16" t="s">
        <v>2079</v>
      </c>
      <c r="D283" s="15" t="s">
        <v>1046</v>
      </c>
      <c r="E283" s="13">
        <v>45958</v>
      </c>
      <c r="F283" s="15" t="s">
        <v>2080</v>
      </c>
      <c r="G283" s="13">
        <v>45958</v>
      </c>
      <c r="H283" s="15" t="s">
        <v>56</v>
      </c>
      <c r="I283" s="18" t="s">
        <v>1134</v>
      </c>
      <c r="J283" s="19"/>
      <c r="K283" s="15" t="s">
        <v>1135</v>
      </c>
      <c r="L283" s="15" t="s">
        <v>1135</v>
      </c>
      <c r="M283" s="18" t="s">
        <v>2085</v>
      </c>
      <c r="N283" s="15" t="s">
        <v>1135</v>
      </c>
      <c r="O283" s="15" t="s">
        <v>365</v>
      </c>
      <c r="P283" s="19"/>
      <c r="Q283" s="19"/>
      <c r="R283" s="15">
        <v>36648658</v>
      </c>
      <c r="S283" s="15">
        <v>1</v>
      </c>
      <c r="T283" s="17">
        <v>43750</v>
      </c>
      <c r="U283" s="17">
        <f t="shared" si="4"/>
        <v>43750</v>
      </c>
      <c r="V283" s="15" t="s">
        <v>1138</v>
      </c>
      <c r="W283" s="15" t="s">
        <v>1138</v>
      </c>
      <c r="X283" s="15" t="s">
        <v>1138</v>
      </c>
      <c r="Y283" s="15" t="s">
        <v>1135</v>
      </c>
      <c r="Z283" s="15" t="s">
        <v>1139</v>
      </c>
      <c r="AA283" s="15" t="s">
        <v>2153</v>
      </c>
      <c r="AB283" s="13">
        <v>46073</v>
      </c>
      <c r="AC283" s="14"/>
    </row>
    <row r="284" spans="1:29" x14ac:dyDescent="0.35">
      <c r="A284" s="15">
        <v>283</v>
      </c>
      <c r="B284" s="15" t="s">
        <v>2086</v>
      </c>
      <c r="C284" s="16" t="s">
        <v>2087</v>
      </c>
      <c r="D284" s="15" t="s">
        <v>1062</v>
      </c>
      <c r="E284" s="13">
        <v>45959</v>
      </c>
      <c r="F284" s="15" t="s">
        <v>2088</v>
      </c>
      <c r="G284" s="13">
        <v>45959</v>
      </c>
      <c r="H284" s="15" t="s">
        <v>56</v>
      </c>
      <c r="I284" s="15" t="s">
        <v>1134</v>
      </c>
      <c r="J284" s="19"/>
      <c r="K284" s="15" t="s">
        <v>1135</v>
      </c>
      <c r="L284" s="15" t="s">
        <v>1135</v>
      </c>
      <c r="M284" s="18" t="s">
        <v>2089</v>
      </c>
      <c r="N284" s="15" t="s">
        <v>1135</v>
      </c>
      <c r="O284" s="15" t="s">
        <v>1947</v>
      </c>
      <c r="P284" s="19"/>
      <c r="Q284" s="19"/>
      <c r="R284" s="15">
        <v>32971036</v>
      </c>
      <c r="S284" s="15">
        <v>1</v>
      </c>
      <c r="T284" s="17">
        <v>41076</v>
      </c>
      <c r="U284" s="17">
        <f t="shared" si="4"/>
        <v>41076</v>
      </c>
      <c r="V284" s="15" t="s">
        <v>1138</v>
      </c>
      <c r="W284" s="15" t="s">
        <v>1138</v>
      </c>
      <c r="X284" s="15" t="s">
        <v>1138</v>
      </c>
      <c r="Y284" s="15" t="s">
        <v>1135</v>
      </c>
      <c r="Z284" s="15" t="s">
        <v>1139</v>
      </c>
      <c r="AA284" s="15" t="s">
        <v>2153</v>
      </c>
      <c r="AB284" s="13">
        <v>46073</v>
      </c>
      <c r="AC284" s="14"/>
    </row>
    <row r="285" spans="1:29" x14ac:dyDescent="0.35">
      <c r="A285" s="15">
        <v>284</v>
      </c>
      <c r="B285" s="15" t="s">
        <v>2090</v>
      </c>
      <c r="C285" s="16" t="s">
        <v>2091</v>
      </c>
      <c r="D285" s="15" t="s">
        <v>1064</v>
      </c>
      <c r="E285" s="13">
        <v>45959</v>
      </c>
      <c r="F285" s="15" t="s">
        <v>2092</v>
      </c>
      <c r="G285" s="13">
        <v>45959</v>
      </c>
      <c r="H285" s="15" t="s">
        <v>56</v>
      </c>
      <c r="I285" s="18" t="s">
        <v>1134</v>
      </c>
      <c r="J285" s="19"/>
      <c r="K285" s="15" t="s">
        <v>1135</v>
      </c>
      <c r="L285" s="15" t="s">
        <v>1135</v>
      </c>
      <c r="M285" s="15" t="s">
        <v>2093</v>
      </c>
      <c r="N285" s="18" t="s">
        <v>2094</v>
      </c>
      <c r="O285" s="15" t="s">
        <v>1609</v>
      </c>
      <c r="P285" s="19"/>
      <c r="Q285" s="19"/>
      <c r="R285" s="15">
        <v>35485987</v>
      </c>
      <c r="S285" s="15">
        <v>1</v>
      </c>
      <c r="T285" s="17">
        <v>38933.129999999997</v>
      </c>
      <c r="U285" s="17">
        <f t="shared" si="4"/>
        <v>38933.129999999997</v>
      </c>
      <c r="V285" s="15" t="s">
        <v>1138</v>
      </c>
      <c r="W285" s="15" t="s">
        <v>1138</v>
      </c>
      <c r="X285" s="15" t="s">
        <v>1138</v>
      </c>
      <c r="Y285" s="15" t="s">
        <v>1135</v>
      </c>
      <c r="Z285" s="15" t="s">
        <v>1139</v>
      </c>
      <c r="AA285" s="15" t="s">
        <v>2153</v>
      </c>
      <c r="AB285" s="13">
        <v>46073</v>
      </c>
      <c r="AC285" s="14"/>
    </row>
    <row r="286" spans="1:29" x14ac:dyDescent="0.35">
      <c r="A286" s="15">
        <v>285</v>
      </c>
      <c r="B286" s="15" t="s">
        <v>2095</v>
      </c>
      <c r="C286" s="16" t="s">
        <v>2096</v>
      </c>
      <c r="D286" s="15" t="s">
        <v>1067</v>
      </c>
      <c r="E286" s="13">
        <v>45959</v>
      </c>
      <c r="F286" s="15" t="s">
        <v>2097</v>
      </c>
      <c r="G286" s="13">
        <v>45959</v>
      </c>
      <c r="H286" s="15" t="s">
        <v>56</v>
      </c>
      <c r="I286" s="15" t="s">
        <v>1134</v>
      </c>
      <c r="J286" s="19"/>
      <c r="K286" s="15" t="s">
        <v>1135</v>
      </c>
      <c r="L286" s="15" t="s">
        <v>1135</v>
      </c>
      <c r="M286" s="18" t="s">
        <v>2098</v>
      </c>
      <c r="N286" s="18" t="s">
        <v>2099</v>
      </c>
      <c r="O286" s="15" t="s">
        <v>519</v>
      </c>
      <c r="P286" s="19"/>
      <c r="Q286" s="19"/>
      <c r="R286" s="15">
        <v>36317205</v>
      </c>
      <c r="S286" s="15">
        <v>1</v>
      </c>
      <c r="T286" s="17">
        <v>3571</v>
      </c>
      <c r="U286" s="17">
        <f t="shared" si="4"/>
        <v>3571</v>
      </c>
      <c r="V286" s="15" t="s">
        <v>1138</v>
      </c>
      <c r="W286" s="15" t="s">
        <v>1138</v>
      </c>
      <c r="X286" s="15" t="s">
        <v>1138</v>
      </c>
      <c r="Y286" s="15" t="s">
        <v>1135</v>
      </c>
      <c r="Z286" s="15" t="s">
        <v>1139</v>
      </c>
      <c r="AA286" s="15" t="s">
        <v>2153</v>
      </c>
      <c r="AB286" s="13">
        <v>46073</v>
      </c>
      <c r="AC286" s="14"/>
    </row>
    <row r="287" spans="1:29" x14ac:dyDescent="0.35">
      <c r="A287" s="15">
        <v>286</v>
      </c>
      <c r="B287" s="15" t="s">
        <v>2090</v>
      </c>
      <c r="C287" s="16" t="s">
        <v>2091</v>
      </c>
      <c r="D287" s="15" t="s">
        <v>1064</v>
      </c>
      <c r="E287" s="13">
        <v>45959</v>
      </c>
      <c r="F287" s="15" t="s">
        <v>2092</v>
      </c>
      <c r="G287" s="13">
        <v>45959</v>
      </c>
      <c r="H287" s="15" t="s">
        <v>56</v>
      </c>
      <c r="I287" s="18" t="s">
        <v>1134</v>
      </c>
      <c r="J287" s="19"/>
      <c r="K287" s="15" t="s">
        <v>1135</v>
      </c>
      <c r="L287" s="15" t="s">
        <v>1135</v>
      </c>
      <c r="M287" s="18" t="s">
        <v>2100</v>
      </c>
      <c r="N287" s="18" t="s">
        <v>2094</v>
      </c>
      <c r="O287" s="15" t="s">
        <v>1778</v>
      </c>
      <c r="P287" s="19"/>
      <c r="Q287" s="19"/>
      <c r="R287" s="15">
        <v>36262013</v>
      </c>
      <c r="S287" s="15">
        <v>1</v>
      </c>
      <c r="T287" s="17">
        <v>6920</v>
      </c>
      <c r="U287" s="17">
        <f t="shared" si="4"/>
        <v>6920</v>
      </c>
      <c r="V287" s="15" t="s">
        <v>1138</v>
      </c>
      <c r="W287" s="15" t="s">
        <v>1138</v>
      </c>
      <c r="X287" s="15" t="s">
        <v>1138</v>
      </c>
      <c r="Y287" s="15" t="s">
        <v>1135</v>
      </c>
      <c r="Z287" s="15" t="s">
        <v>1139</v>
      </c>
      <c r="AA287" s="15" t="s">
        <v>2153</v>
      </c>
      <c r="AB287" s="13">
        <v>46073</v>
      </c>
      <c r="AC287" s="14"/>
    </row>
    <row r="288" spans="1:29" x14ac:dyDescent="0.35">
      <c r="A288" s="15">
        <v>287</v>
      </c>
      <c r="B288" s="15" t="s">
        <v>2101</v>
      </c>
      <c r="C288" s="16" t="s">
        <v>2102</v>
      </c>
      <c r="D288" s="15" t="s">
        <v>1070</v>
      </c>
      <c r="E288" s="13">
        <v>45959</v>
      </c>
      <c r="F288" s="15" t="s">
        <v>2103</v>
      </c>
      <c r="G288" s="13">
        <v>45959</v>
      </c>
      <c r="H288" s="15" t="s">
        <v>56</v>
      </c>
      <c r="I288" s="18" t="s">
        <v>1134</v>
      </c>
      <c r="J288" s="19"/>
      <c r="K288" s="15" t="s">
        <v>1135</v>
      </c>
      <c r="L288" s="15" t="s">
        <v>1135</v>
      </c>
      <c r="M288" s="15" t="s">
        <v>2104</v>
      </c>
      <c r="N288" s="18" t="s">
        <v>2105</v>
      </c>
      <c r="O288" s="15" t="s">
        <v>147</v>
      </c>
      <c r="P288" s="19"/>
      <c r="Q288" s="19"/>
      <c r="R288" s="15">
        <v>34611095</v>
      </c>
      <c r="S288" s="15">
        <v>1</v>
      </c>
      <c r="T288" s="17">
        <v>3572</v>
      </c>
      <c r="U288" s="17">
        <f t="shared" si="4"/>
        <v>3572</v>
      </c>
      <c r="V288" s="15" t="s">
        <v>1138</v>
      </c>
      <c r="W288" s="15" t="s">
        <v>1138</v>
      </c>
      <c r="X288" s="15" t="s">
        <v>1138</v>
      </c>
      <c r="Y288" s="15" t="s">
        <v>1135</v>
      </c>
      <c r="Z288" s="15" t="s">
        <v>1139</v>
      </c>
      <c r="AA288" s="15" t="s">
        <v>2153</v>
      </c>
      <c r="AB288" s="13">
        <v>46073</v>
      </c>
      <c r="AC288" s="14"/>
    </row>
    <row r="289" spans="1:29" x14ac:dyDescent="0.35">
      <c r="A289" s="15">
        <v>288</v>
      </c>
      <c r="B289" s="15" t="s">
        <v>2095</v>
      </c>
      <c r="C289" s="16" t="s">
        <v>2096</v>
      </c>
      <c r="D289" s="15" t="s">
        <v>1067</v>
      </c>
      <c r="E289" s="13">
        <v>45959</v>
      </c>
      <c r="F289" s="15" t="s">
        <v>2097</v>
      </c>
      <c r="G289" s="13">
        <v>45959</v>
      </c>
      <c r="H289" s="15" t="s">
        <v>56</v>
      </c>
      <c r="I289" s="15" t="s">
        <v>1134</v>
      </c>
      <c r="J289" s="19"/>
      <c r="K289" s="15" t="s">
        <v>1135</v>
      </c>
      <c r="L289" s="15" t="s">
        <v>1135</v>
      </c>
      <c r="M289" s="18" t="s">
        <v>2106</v>
      </c>
      <c r="N289" s="18" t="s">
        <v>2099</v>
      </c>
      <c r="O289" s="15" t="s">
        <v>1414</v>
      </c>
      <c r="P289" s="19"/>
      <c r="Q289" s="19"/>
      <c r="R289" s="15">
        <v>36317714</v>
      </c>
      <c r="S289" s="15">
        <v>1</v>
      </c>
      <c r="T289" s="17">
        <v>6920</v>
      </c>
      <c r="U289" s="17">
        <f t="shared" si="4"/>
        <v>6920</v>
      </c>
      <c r="V289" s="15" t="s">
        <v>1138</v>
      </c>
      <c r="W289" s="15" t="s">
        <v>1138</v>
      </c>
      <c r="X289" s="15" t="s">
        <v>1138</v>
      </c>
      <c r="Y289" s="15" t="s">
        <v>1135</v>
      </c>
      <c r="Z289" s="15" t="s">
        <v>1139</v>
      </c>
      <c r="AA289" s="15" t="s">
        <v>2153</v>
      </c>
      <c r="AB289" s="13">
        <v>46073</v>
      </c>
      <c r="AC289" s="14"/>
    </row>
    <row r="290" spans="1:29" x14ac:dyDescent="0.35">
      <c r="A290" s="15">
        <v>289</v>
      </c>
      <c r="B290" s="15" t="s">
        <v>2107</v>
      </c>
      <c r="C290" s="16" t="s">
        <v>2108</v>
      </c>
      <c r="D290" s="15" t="s">
        <v>1073</v>
      </c>
      <c r="E290" s="13">
        <v>45959</v>
      </c>
      <c r="F290" s="15" t="s">
        <v>2109</v>
      </c>
      <c r="G290" s="13">
        <v>45959</v>
      </c>
      <c r="H290" s="15" t="s">
        <v>56</v>
      </c>
      <c r="I290" s="18" t="s">
        <v>1134</v>
      </c>
      <c r="J290" s="19"/>
      <c r="K290" s="15" t="s">
        <v>1135</v>
      </c>
      <c r="L290" s="15" t="s">
        <v>1135</v>
      </c>
      <c r="M290" s="15" t="s">
        <v>2110</v>
      </c>
      <c r="N290" s="15" t="s">
        <v>1135</v>
      </c>
      <c r="O290" s="15" t="s">
        <v>351</v>
      </c>
      <c r="P290" s="19"/>
      <c r="Q290" s="19"/>
      <c r="R290" s="15">
        <v>34417335</v>
      </c>
      <c r="S290" s="15">
        <v>1</v>
      </c>
      <c r="T290" s="17">
        <v>3571</v>
      </c>
      <c r="U290" s="17">
        <f t="shared" si="4"/>
        <v>3571</v>
      </c>
      <c r="V290" s="15" t="s">
        <v>1138</v>
      </c>
      <c r="W290" s="15" t="s">
        <v>1138</v>
      </c>
      <c r="X290" s="15" t="s">
        <v>1138</v>
      </c>
      <c r="Y290" s="15" t="s">
        <v>1135</v>
      </c>
      <c r="Z290" s="15" t="s">
        <v>1139</v>
      </c>
      <c r="AA290" s="15" t="s">
        <v>2153</v>
      </c>
      <c r="AB290" s="13">
        <v>46073</v>
      </c>
      <c r="AC290" s="14"/>
    </row>
    <row r="291" spans="1:29" x14ac:dyDescent="0.35">
      <c r="A291" s="15">
        <v>290</v>
      </c>
      <c r="B291" s="15" t="s">
        <v>2107</v>
      </c>
      <c r="C291" s="16" t="s">
        <v>2108</v>
      </c>
      <c r="D291" s="15" t="s">
        <v>1073</v>
      </c>
      <c r="E291" s="13">
        <v>45959</v>
      </c>
      <c r="F291" s="15" t="s">
        <v>2109</v>
      </c>
      <c r="G291" s="13">
        <v>45959</v>
      </c>
      <c r="H291" s="15" t="s">
        <v>56</v>
      </c>
      <c r="I291" s="18" t="s">
        <v>1134</v>
      </c>
      <c r="J291" s="19"/>
      <c r="K291" s="15" t="s">
        <v>1135</v>
      </c>
      <c r="L291" s="15" t="s">
        <v>1135</v>
      </c>
      <c r="M291" s="15" t="s">
        <v>2111</v>
      </c>
      <c r="N291" s="15" t="s">
        <v>1135</v>
      </c>
      <c r="O291" s="15" t="s">
        <v>2112</v>
      </c>
      <c r="P291" s="19"/>
      <c r="Q291" s="19"/>
      <c r="R291" s="15">
        <v>35549389</v>
      </c>
      <c r="S291" s="15">
        <v>1</v>
      </c>
      <c r="T291" s="17">
        <v>38933.129999999997</v>
      </c>
      <c r="U291" s="17">
        <f t="shared" si="4"/>
        <v>38933.129999999997</v>
      </c>
      <c r="V291" s="15" t="s">
        <v>1138</v>
      </c>
      <c r="W291" s="15" t="s">
        <v>1138</v>
      </c>
      <c r="X291" s="15" t="s">
        <v>1138</v>
      </c>
      <c r="Y291" s="15" t="s">
        <v>1135</v>
      </c>
      <c r="Z291" s="15" t="s">
        <v>1139</v>
      </c>
      <c r="AA291" s="15" t="s">
        <v>2153</v>
      </c>
      <c r="AB291" s="13">
        <v>46073</v>
      </c>
      <c r="AC291" s="14"/>
    </row>
    <row r="292" spans="1:29" x14ac:dyDescent="0.35">
      <c r="A292" s="15">
        <v>291</v>
      </c>
      <c r="B292" s="15" t="s">
        <v>2107</v>
      </c>
      <c r="C292" s="16" t="s">
        <v>2108</v>
      </c>
      <c r="D292" s="15" t="s">
        <v>1073</v>
      </c>
      <c r="E292" s="13">
        <v>45959</v>
      </c>
      <c r="F292" s="15" t="s">
        <v>2109</v>
      </c>
      <c r="G292" s="13">
        <v>45959</v>
      </c>
      <c r="H292" s="15" t="s">
        <v>56</v>
      </c>
      <c r="I292" s="18" t="s">
        <v>1134</v>
      </c>
      <c r="J292" s="19"/>
      <c r="K292" s="15" t="s">
        <v>1135</v>
      </c>
      <c r="L292" s="15" t="s">
        <v>1135</v>
      </c>
      <c r="M292" s="15" t="s">
        <v>2113</v>
      </c>
      <c r="N292" s="15" t="s">
        <v>1135</v>
      </c>
      <c r="O292" s="15" t="s">
        <v>1609</v>
      </c>
      <c r="P292" s="19"/>
      <c r="Q292" s="19"/>
      <c r="R292" s="15">
        <v>33434428</v>
      </c>
      <c r="S292" s="15">
        <v>1</v>
      </c>
      <c r="T292" s="17">
        <v>38933.129999999997</v>
      </c>
      <c r="U292" s="17">
        <f t="shared" si="4"/>
        <v>38933.129999999997</v>
      </c>
      <c r="V292" s="15" t="s">
        <v>1138</v>
      </c>
      <c r="W292" s="15" t="s">
        <v>1138</v>
      </c>
      <c r="X292" s="15" t="s">
        <v>1138</v>
      </c>
      <c r="Y292" s="15" t="s">
        <v>1135</v>
      </c>
      <c r="Z292" s="15" t="s">
        <v>1139</v>
      </c>
      <c r="AA292" s="15" t="s">
        <v>2153</v>
      </c>
      <c r="AB292" s="13">
        <v>46073</v>
      </c>
      <c r="AC292" s="14"/>
    </row>
    <row r="293" spans="1:29" x14ac:dyDescent="0.35">
      <c r="A293" s="15">
        <v>292</v>
      </c>
      <c r="B293" s="15" t="s">
        <v>2107</v>
      </c>
      <c r="C293" s="16" t="s">
        <v>2108</v>
      </c>
      <c r="D293" s="15" t="s">
        <v>1073</v>
      </c>
      <c r="E293" s="13">
        <v>45959</v>
      </c>
      <c r="F293" s="15" t="s">
        <v>2109</v>
      </c>
      <c r="G293" s="13">
        <v>45959</v>
      </c>
      <c r="H293" s="15" t="s">
        <v>56</v>
      </c>
      <c r="I293" s="18" t="s">
        <v>1134</v>
      </c>
      <c r="J293" s="19"/>
      <c r="K293" s="15" t="s">
        <v>1135</v>
      </c>
      <c r="L293" s="15" t="s">
        <v>1135</v>
      </c>
      <c r="M293" s="18" t="s">
        <v>2114</v>
      </c>
      <c r="N293" s="15" t="s">
        <v>1135</v>
      </c>
      <c r="O293" s="15" t="s">
        <v>2115</v>
      </c>
      <c r="P293" s="19"/>
      <c r="Q293" s="19"/>
      <c r="R293" s="15">
        <v>36293643</v>
      </c>
      <c r="S293" s="15">
        <v>1</v>
      </c>
      <c r="T293" s="17">
        <v>38933.129999999997</v>
      </c>
      <c r="U293" s="17">
        <f t="shared" si="4"/>
        <v>38933.129999999997</v>
      </c>
      <c r="V293" s="15" t="s">
        <v>1138</v>
      </c>
      <c r="W293" s="15" t="s">
        <v>1138</v>
      </c>
      <c r="X293" s="15" t="s">
        <v>1138</v>
      </c>
      <c r="Y293" s="15" t="s">
        <v>1135</v>
      </c>
      <c r="Z293" s="15" t="s">
        <v>1139</v>
      </c>
      <c r="AA293" s="15" t="s">
        <v>2153</v>
      </c>
      <c r="AB293" s="13">
        <v>46073</v>
      </c>
      <c r="AC293" s="14"/>
    </row>
    <row r="294" spans="1:29" x14ac:dyDescent="0.35">
      <c r="A294" s="15">
        <v>293</v>
      </c>
      <c r="B294" s="15" t="s">
        <v>2107</v>
      </c>
      <c r="C294" s="16" t="s">
        <v>2108</v>
      </c>
      <c r="D294" s="15" t="s">
        <v>1073</v>
      </c>
      <c r="E294" s="13">
        <v>45959</v>
      </c>
      <c r="F294" s="15" t="s">
        <v>2109</v>
      </c>
      <c r="G294" s="13">
        <v>45959</v>
      </c>
      <c r="H294" s="15" t="s">
        <v>56</v>
      </c>
      <c r="I294" s="18" t="s">
        <v>1134</v>
      </c>
      <c r="J294" s="19"/>
      <c r="K294" s="15" t="s">
        <v>1135</v>
      </c>
      <c r="L294" s="15" t="s">
        <v>1135</v>
      </c>
      <c r="M294" s="18" t="s">
        <v>2116</v>
      </c>
      <c r="N294" s="15" t="s">
        <v>1135</v>
      </c>
      <c r="O294" s="15" t="s">
        <v>1778</v>
      </c>
      <c r="P294" s="19"/>
      <c r="Q294" s="19"/>
      <c r="R294" s="15">
        <v>36262013</v>
      </c>
      <c r="S294" s="15">
        <v>1</v>
      </c>
      <c r="T294" s="17">
        <v>6920</v>
      </c>
      <c r="U294" s="17">
        <f t="shared" si="4"/>
        <v>6920</v>
      </c>
      <c r="V294" s="15" t="s">
        <v>1138</v>
      </c>
      <c r="W294" s="15" t="s">
        <v>1138</v>
      </c>
      <c r="X294" s="15" t="s">
        <v>1138</v>
      </c>
      <c r="Y294" s="15" t="s">
        <v>1135</v>
      </c>
      <c r="Z294" s="15" t="s">
        <v>1139</v>
      </c>
      <c r="AA294" s="15" t="s">
        <v>2153</v>
      </c>
      <c r="AB294" s="13">
        <v>46073</v>
      </c>
      <c r="AC294" s="14"/>
    </row>
    <row r="295" spans="1:29" x14ac:dyDescent="0.35">
      <c r="A295" s="15">
        <v>294</v>
      </c>
      <c r="B295" s="15" t="s">
        <v>2117</v>
      </c>
      <c r="C295" s="16" t="s">
        <v>2118</v>
      </c>
      <c r="D295" s="15" t="s">
        <v>1081</v>
      </c>
      <c r="E295" s="13">
        <v>45960</v>
      </c>
      <c r="F295" s="15" t="s">
        <v>2119</v>
      </c>
      <c r="G295" s="13">
        <v>45960</v>
      </c>
      <c r="H295" s="15" t="s">
        <v>56</v>
      </c>
      <c r="I295" s="15" t="s">
        <v>1134</v>
      </c>
      <c r="J295" s="19"/>
      <c r="K295" s="15" t="s">
        <v>1135</v>
      </c>
      <c r="L295" s="15" t="s">
        <v>1135</v>
      </c>
      <c r="M295" s="18" t="s">
        <v>2120</v>
      </c>
      <c r="N295" s="18" t="s">
        <v>2121</v>
      </c>
      <c r="O295" s="15" t="s">
        <v>1778</v>
      </c>
      <c r="P295" s="19"/>
      <c r="Q295" s="19"/>
      <c r="R295" s="15">
        <v>36262013</v>
      </c>
      <c r="S295" s="15">
        <v>1</v>
      </c>
      <c r="T295" s="17">
        <v>6920</v>
      </c>
      <c r="U295" s="17">
        <f t="shared" si="4"/>
        <v>6920</v>
      </c>
      <c r="V295" s="15" t="s">
        <v>1138</v>
      </c>
      <c r="W295" s="15" t="s">
        <v>1138</v>
      </c>
      <c r="X295" s="15" t="s">
        <v>1138</v>
      </c>
      <c r="Y295" s="15" t="s">
        <v>1135</v>
      </c>
      <c r="Z295" s="15" t="s">
        <v>1139</v>
      </c>
      <c r="AA295" s="15" t="s">
        <v>2153</v>
      </c>
      <c r="AB295" s="13">
        <v>46073</v>
      </c>
      <c r="AC295" s="14"/>
    </row>
    <row r="296" spans="1:29" x14ac:dyDescent="0.35">
      <c r="A296" s="15">
        <v>295</v>
      </c>
      <c r="B296" s="15" t="s">
        <v>2122</v>
      </c>
      <c r="C296" s="16" t="s">
        <v>2123</v>
      </c>
      <c r="D296" s="15" t="s">
        <v>1083</v>
      </c>
      <c r="E296" s="13">
        <v>45961</v>
      </c>
      <c r="F296" s="15" t="s">
        <v>2124</v>
      </c>
      <c r="G296" s="13">
        <v>45961</v>
      </c>
      <c r="H296" s="15" t="s">
        <v>56</v>
      </c>
      <c r="I296" s="15" t="s">
        <v>1134</v>
      </c>
      <c r="J296" s="19"/>
      <c r="K296" s="15" t="s">
        <v>1135</v>
      </c>
      <c r="L296" s="15" t="s">
        <v>1135</v>
      </c>
      <c r="M296" s="18" t="s">
        <v>2125</v>
      </c>
      <c r="N296" s="18" t="s">
        <v>2126</v>
      </c>
      <c r="O296" s="15" t="s">
        <v>493</v>
      </c>
      <c r="P296" s="19"/>
      <c r="Q296" s="19"/>
      <c r="R296" s="15">
        <v>36673309</v>
      </c>
      <c r="S296" s="15">
        <v>1</v>
      </c>
      <c r="T296" s="17">
        <v>3572</v>
      </c>
      <c r="U296" s="17">
        <f t="shared" si="4"/>
        <v>3572</v>
      </c>
      <c r="V296" s="15" t="s">
        <v>1138</v>
      </c>
      <c r="W296" s="15" t="s">
        <v>1138</v>
      </c>
      <c r="X296" s="15" t="s">
        <v>1138</v>
      </c>
      <c r="Y296" s="15" t="s">
        <v>1135</v>
      </c>
      <c r="Z296" s="15" t="s">
        <v>1139</v>
      </c>
      <c r="AA296" s="15" t="s">
        <v>2153</v>
      </c>
      <c r="AB296" s="13">
        <v>46073</v>
      </c>
      <c r="AC296" s="14"/>
    </row>
    <row r="297" spans="1:29" x14ac:dyDescent="0.35">
      <c r="A297" s="15">
        <v>296</v>
      </c>
      <c r="B297" s="15" t="s">
        <v>2127</v>
      </c>
      <c r="C297" s="16" t="s">
        <v>2128</v>
      </c>
      <c r="D297" s="15" t="s">
        <v>1086</v>
      </c>
      <c r="E297" s="13">
        <v>45961</v>
      </c>
      <c r="F297" s="15" t="s">
        <v>2129</v>
      </c>
      <c r="G297" s="13">
        <v>45961</v>
      </c>
      <c r="H297" s="15" t="s">
        <v>56</v>
      </c>
      <c r="I297" s="15" t="s">
        <v>1134</v>
      </c>
      <c r="J297" s="19"/>
      <c r="K297" s="15" t="s">
        <v>1135</v>
      </c>
      <c r="L297" s="15" t="s">
        <v>1135</v>
      </c>
      <c r="M297" s="18" t="s">
        <v>2130</v>
      </c>
      <c r="N297" s="15" t="s">
        <v>1135</v>
      </c>
      <c r="O297" s="15" t="s">
        <v>262</v>
      </c>
      <c r="P297" s="19"/>
      <c r="Q297" s="19"/>
      <c r="R297" s="15">
        <v>36317346</v>
      </c>
      <c r="S297" s="15">
        <v>1</v>
      </c>
      <c r="T297" s="17">
        <v>3571</v>
      </c>
      <c r="U297" s="17">
        <f t="shared" si="4"/>
        <v>3571</v>
      </c>
      <c r="V297" s="15" t="s">
        <v>1138</v>
      </c>
      <c r="W297" s="15" t="s">
        <v>1138</v>
      </c>
      <c r="X297" s="15" t="s">
        <v>1138</v>
      </c>
      <c r="Y297" s="15" t="s">
        <v>1135</v>
      </c>
      <c r="Z297" s="15" t="s">
        <v>1139</v>
      </c>
      <c r="AA297" s="15" t="s">
        <v>2153</v>
      </c>
      <c r="AB297" s="13">
        <v>46073</v>
      </c>
      <c r="AC297" s="14"/>
    </row>
    <row r="298" spans="1:29" x14ac:dyDescent="0.35">
      <c r="A298" s="15">
        <v>297</v>
      </c>
      <c r="B298" s="15" t="s">
        <v>2131</v>
      </c>
      <c r="C298" s="16" t="s">
        <v>2132</v>
      </c>
      <c r="D298" s="15" t="s">
        <v>1088</v>
      </c>
      <c r="E298" s="13">
        <v>45961</v>
      </c>
      <c r="F298" s="15" t="s">
        <v>2133</v>
      </c>
      <c r="G298" s="13">
        <v>45961</v>
      </c>
      <c r="H298" s="15" t="s">
        <v>56</v>
      </c>
      <c r="I298" s="18" t="s">
        <v>1134</v>
      </c>
      <c r="J298" s="19"/>
      <c r="K298" s="15" t="s">
        <v>1135</v>
      </c>
      <c r="L298" s="15" t="s">
        <v>1135</v>
      </c>
      <c r="M298" s="18" t="s">
        <v>2134</v>
      </c>
      <c r="N298" s="18" t="s">
        <v>2135</v>
      </c>
      <c r="O298" s="15" t="s">
        <v>1778</v>
      </c>
      <c r="P298" s="19"/>
      <c r="Q298" s="19"/>
      <c r="R298" s="15">
        <v>36262013</v>
      </c>
      <c r="S298" s="15">
        <v>1</v>
      </c>
      <c r="T298" s="17">
        <v>6920</v>
      </c>
      <c r="U298" s="17">
        <f t="shared" si="4"/>
        <v>6920</v>
      </c>
      <c r="V298" s="15" t="s">
        <v>1138</v>
      </c>
      <c r="W298" s="15" t="s">
        <v>1138</v>
      </c>
      <c r="X298" s="15" t="s">
        <v>1138</v>
      </c>
      <c r="Y298" s="15" t="s">
        <v>1135</v>
      </c>
      <c r="Z298" s="15" t="s">
        <v>1139</v>
      </c>
      <c r="AA298" s="15" t="s">
        <v>2153</v>
      </c>
      <c r="AB298" s="13">
        <v>46073</v>
      </c>
      <c r="AC298" s="14"/>
    </row>
    <row r="299" spans="1:29" x14ac:dyDescent="0.35">
      <c r="A299" s="15">
        <v>298</v>
      </c>
      <c r="B299" s="15" t="s">
        <v>2136</v>
      </c>
      <c r="C299" s="16" t="s">
        <v>2137</v>
      </c>
      <c r="D299" s="15" t="s">
        <v>1090</v>
      </c>
      <c r="E299" s="13">
        <v>45961</v>
      </c>
      <c r="F299" s="15" t="s">
        <v>2138</v>
      </c>
      <c r="G299" s="13">
        <v>45961</v>
      </c>
      <c r="H299" s="15" t="s">
        <v>56</v>
      </c>
      <c r="I299" s="18" t="s">
        <v>1134</v>
      </c>
      <c r="J299" s="19"/>
      <c r="K299" s="15" t="s">
        <v>1135</v>
      </c>
      <c r="L299" s="15" t="s">
        <v>1135</v>
      </c>
      <c r="M299" s="18" t="s">
        <v>2139</v>
      </c>
      <c r="N299" s="18" t="s">
        <v>2140</v>
      </c>
      <c r="O299" s="15" t="s">
        <v>169</v>
      </c>
      <c r="P299" s="19"/>
      <c r="Q299" s="19"/>
      <c r="R299" s="15">
        <v>36729117</v>
      </c>
      <c r="S299" s="15">
        <v>1</v>
      </c>
      <c r="T299" s="17">
        <v>3571</v>
      </c>
      <c r="U299" s="17">
        <f t="shared" si="4"/>
        <v>3571</v>
      </c>
      <c r="V299" s="15" t="s">
        <v>1138</v>
      </c>
      <c r="W299" s="15" t="s">
        <v>1138</v>
      </c>
      <c r="X299" s="15" t="s">
        <v>1138</v>
      </c>
      <c r="Y299" s="15" t="s">
        <v>1135</v>
      </c>
      <c r="Z299" s="15" t="s">
        <v>1139</v>
      </c>
      <c r="AA299" s="15" t="s">
        <v>2153</v>
      </c>
      <c r="AB299" s="13">
        <v>46073</v>
      </c>
      <c r="AC299" s="14"/>
    </row>
    <row r="300" spans="1:29" x14ac:dyDescent="0.35">
      <c r="A300" s="15">
        <v>299</v>
      </c>
      <c r="B300" s="15" t="s">
        <v>2141</v>
      </c>
      <c r="C300" s="16" t="s">
        <v>2142</v>
      </c>
      <c r="D300" s="15" t="s">
        <v>1093</v>
      </c>
      <c r="E300" s="13">
        <v>45961</v>
      </c>
      <c r="F300" s="15" t="s">
        <v>2143</v>
      </c>
      <c r="G300" s="13">
        <v>45961</v>
      </c>
      <c r="H300" s="15" t="s">
        <v>56</v>
      </c>
      <c r="I300" s="15" t="s">
        <v>1134</v>
      </c>
      <c r="J300" s="19"/>
      <c r="K300" s="15" t="s">
        <v>1135</v>
      </c>
      <c r="L300" s="15" t="s">
        <v>1135</v>
      </c>
      <c r="M300" s="18" t="s">
        <v>2144</v>
      </c>
      <c r="N300" s="18" t="s">
        <v>2145</v>
      </c>
      <c r="O300" s="15" t="s">
        <v>262</v>
      </c>
      <c r="P300" s="19"/>
      <c r="Q300" s="19"/>
      <c r="R300" s="15">
        <v>36608847</v>
      </c>
      <c r="S300" s="15">
        <v>1</v>
      </c>
      <c r="T300" s="17">
        <v>3571</v>
      </c>
      <c r="U300" s="17">
        <f t="shared" si="4"/>
        <v>3571</v>
      </c>
      <c r="V300" s="15" t="s">
        <v>1138</v>
      </c>
      <c r="W300" s="15" t="s">
        <v>1138</v>
      </c>
      <c r="X300" s="15" t="s">
        <v>1138</v>
      </c>
      <c r="Y300" s="15" t="s">
        <v>1135</v>
      </c>
      <c r="Z300" s="15" t="s">
        <v>1139</v>
      </c>
      <c r="AA300" s="15" t="s">
        <v>2153</v>
      </c>
      <c r="AB300" s="13">
        <v>46073</v>
      </c>
      <c r="AC300" s="14"/>
    </row>
    <row r="301" spans="1:29" x14ac:dyDescent="0.35">
      <c r="A301" s="15">
        <v>300</v>
      </c>
      <c r="B301" s="15" t="s">
        <v>2146</v>
      </c>
      <c r="C301" s="16" t="s">
        <v>2147</v>
      </c>
      <c r="D301" s="15" t="s">
        <v>1097</v>
      </c>
      <c r="E301" s="13">
        <v>45961</v>
      </c>
      <c r="F301" s="15" t="s">
        <v>2148</v>
      </c>
      <c r="G301" s="13">
        <v>45961</v>
      </c>
      <c r="H301" s="15" t="s">
        <v>56</v>
      </c>
      <c r="I301" s="15" t="s">
        <v>1134</v>
      </c>
      <c r="J301" s="19"/>
      <c r="K301" s="15" t="s">
        <v>1135</v>
      </c>
      <c r="L301" s="15" t="s">
        <v>1135</v>
      </c>
      <c r="M301" s="18" t="s">
        <v>2149</v>
      </c>
      <c r="N301" s="18" t="s">
        <v>2150</v>
      </c>
      <c r="O301" s="15" t="s">
        <v>1778</v>
      </c>
      <c r="P301" s="19"/>
      <c r="Q301" s="19"/>
      <c r="R301" s="15">
        <v>36262013</v>
      </c>
      <c r="S301" s="15">
        <v>1</v>
      </c>
      <c r="T301" s="17">
        <v>6920</v>
      </c>
      <c r="U301" s="17">
        <f t="shared" si="4"/>
        <v>6920</v>
      </c>
      <c r="V301" s="15" t="s">
        <v>1138</v>
      </c>
      <c r="W301" s="15" t="s">
        <v>1138</v>
      </c>
      <c r="X301" s="15" t="s">
        <v>1138</v>
      </c>
      <c r="Y301" s="15" t="s">
        <v>1135</v>
      </c>
      <c r="Z301" s="15" t="s">
        <v>1139</v>
      </c>
      <c r="AA301" s="15" t="s">
        <v>2153</v>
      </c>
      <c r="AB301" s="13">
        <v>46073</v>
      </c>
      <c r="AC301" s="14"/>
    </row>
    <row r="302" spans="1:29" x14ac:dyDescent="0.35">
      <c r="A302" s="15">
        <v>301</v>
      </c>
      <c r="B302" s="15" t="s">
        <v>2146</v>
      </c>
      <c r="C302" s="16" t="s">
        <v>2147</v>
      </c>
      <c r="D302" s="15" t="s">
        <v>1097</v>
      </c>
      <c r="E302" s="13">
        <v>45961</v>
      </c>
      <c r="F302" s="15" t="s">
        <v>2148</v>
      </c>
      <c r="G302" s="13">
        <v>45961</v>
      </c>
      <c r="H302" s="15" t="s">
        <v>56</v>
      </c>
      <c r="I302" s="15" t="s">
        <v>1134</v>
      </c>
      <c r="J302" s="19"/>
      <c r="K302" s="15" t="s">
        <v>1135</v>
      </c>
      <c r="L302" s="15" t="s">
        <v>1135</v>
      </c>
      <c r="M302" s="15" t="s">
        <v>2151</v>
      </c>
      <c r="N302" s="18" t="s">
        <v>2150</v>
      </c>
      <c r="O302" s="15" t="s">
        <v>1697</v>
      </c>
      <c r="P302" s="19"/>
      <c r="Q302" s="19"/>
      <c r="R302" s="15">
        <v>36013561</v>
      </c>
      <c r="S302" s="15">
        <v>1</v>
      </c>
      <c r="T302" s="17">
        <v>19500</v>
      </c>
      <c r="U302" s="17">
        <f t="shared" si="4"/>
        <v>19500</v>
      </c>
      <c r="V302" s="15" t="s">
        <v>1138</v>
      </c>
      <c r="W302" s="15" t="s">
        <v>1138</v>
      </c>
      <c r="X302" s="15" t="s">
        <v>1138</v>
      </c>
      <c r="Y302" s="15" t="s">
        <v>1135</v>
      </c>
      <c r="Z302" s="15" t="s">
        <v>1139</v>
      </c>
      <c r="AA302" s="15" t="s">
        <v>2153</v>
      </c>
      <c r="AB302" s="13">
        <v>46073</v>
      </c>
      <c r="AC302" s="14"/>
    </row>
    <row r="303" spans="1:29" x14ac:dyDescent="0.35">
      <c r="A303" s="15">
        <v>302</v>
      </c>
      <c r="B303" s="15" t="s">
        <v>2155</v>
      </c>
      <c r="C303" s="16" t="s">
        <v>2156</v>
      </c>
      <c r="D303" s="15" t="s">
        <v>440</v>
      </c>
      <c r="E303" s="13">
        <v>46025</v>
      </c>
      <c r="F303" s="15" t="s">
        <v>2157</v>
      </c>
      <c r="G303" s="13">
        <v>45895</v>
      </c>
      <c r="H303" s="15" t="s">
        <v>56</v>
      </c>
      <c r="I303" s="15" t="s">
        <v>59</v>
      </c>
      <c r="J303" s="19"/>
      <c r="K303" s="15" t="s">
        <v>1135</v>
      </c>
      <c r="L303" s="15" t="s">
        <v>1135</v>
      </c>
      <c r="M303" s="15" t="s">
        <v>2158</v>
      </c>
      <c r="N303" s="18" t="s">
        <v>2159</v>
      </c>
      <c r="O303" s="15" t="s">
        <v>1387</v>
      </c>
      <c r="P303" s="19"/>
      <c r="Q303" s="19"/>
      <c r="R303" s="15">
        <v>35669707</v>
      </c>
      <c r="S303" s="15">
        <v>1</v>
      </c>
      <c r="T303" s="17">
        <v>38933</v>
      </c>
      <c r="U303" s="17">
        <f t="shared" si="4"/>
        <v>38933</v>
      </c>
      <c r="V303" s="15" t="s">
        <v>1138</v>
      </c>
      <c r="W303" s="15" t="s">
        <v>1138</v>
      </c>
      <c r="X303" s="15" t="s">
        <v>1138</v>
      </c>
      <c r="Y303" s="15" t="s">
        <v>1135</v>
      </c>
      <c r="Z303" s="15" t="s">
        <v>1139</v>
      </c>
      <c r="AA303" s="15" t="s">
        <v>2153</v>
      </c>
      <c r="AB303" s="13">
        <v>46073</v>
      </c>
      <c r="AC303" s="14"/>
    </row>
    <row r="304" spans="1:29" x14ac:dyDescent="0.35">
      <c r="A304" s="15">
        <v>303</v>
      </c>
      <c r="B304" s="15" t="s">
        <v>2155</v>
      </c>
      <c r="C304" s="16" t="s">
        <v>2156</v>
      </c>
      <c r="D304" s="15" t="s">
        <v>440</v>
      </c>
      <c r="E304" s="13">
        <v>46025</v>
      </c>
      <c r="F304" s="15" t="s">
        <v>2157</v>
      </c>
      <c r="G304" s="13">
        <v>45895</v>
      </c>
      <c r="H304" s="15" t="s">
        <v>56</v>
      </c>
      <c r="I304" s="15" t="s">
        <v>59</v>
      </c>
      <c r="J304" s="19"/>
      <c r="K304" s="15" t="s">
        <v>1135</v>
      </c>
      <c r="L304" s="15" t="s">
        <v>1135</v>
      </c>
      <c r="M304" s="15" t="s">
        <v>2158</v>
      </c>
      <c r="N304" s="18" t="s">
        <v>2159</v>
      </c>
      <c r="O304" s="15" t="s">
        <v>1368</v>
      </c>
      <c r="P304" s="19"/>
      <c r="Q304" s="19"/>
      <c r="R304" s="15">
        <v>36603552</v>
      </c>
      <c r="S304" s="15">
        <v>1</v>
      </c>
      <c r="T304" s="17">
        <v>38933</v>
      </c>
      <c r="U304" s="17">
        <f t="shared" ref="U304:U311" si="5">T304*S304</f>
        <v>38933</v>
      </c>
      <c r="V304" s="15" t="s">
        <v>1138</v>
      </c>
      <c r="W304" s="15" t="s">
        <v>1138</v>
      </c>
      <c r="X304" s="15" t="s">
        <v>1138</v>
      </c>
      <c r="Y304" s="15" t="s">
        <v>1135</v>
      </c>
      <c r="Z304" s="15" t="s">
        <v>1139</v>
      </c>
      <c r="AA304" s="15" t="s">
        <v>2153</v>
      </c>
      <c r="AB304" s="13">
        <v>46073</v>
      </c>
      <c r="AC304" s="14"/>
    </row>
    <row r="305" spans="1:29" x14ac:dyDescent="0.35">
      <c r="A305" s="15">
        <v>304</v>
      </c>
      <c r="B305" s="15" t="s">
        <v>2155</v>
      </c>
      <c r="C305" s="16" t="s">
        <v>2156</v>
      </c>
      <c r="D305" s="15" t="s">
        <v>440</v>
      </c>
      <c r="E305" s="13">
        <v>46025</v>
      </c>
      <c r="F305" s="15" t="s">
        <v>2157</v>
      </c>
      <c r="G305" s="13">
        <v>45895</v>
      </c>
      <c r="H305" s="15" t="s">
        <v>56</v>
      </c>
      <c r="I305" s="15" t="s">
        <v>59</v>
      </c>
      <c r="J305" s="19"/>
      <c r="K305" s="15" t="s">
        <v>1135</v>
      </c>
      <c r="L305" s="15" t="s">
        <v>1135</v>
      </c>
      <c r="M305" s="15" t="s">
        <v>2158</v>
      </c>
      <c r="N305" s="18" t="s">
        <v>2159</v>
      </c>
      <c r="O305" s="15" t="s">
        <v>1320</v>
      </c>
      <c r="P305" s="19"/>
      <c r="Q305" s="19"/>
      <c r="R305" s="15">
        <v>34748420</v>
      </c>
      <c r="S305" s="15">
        <v>1</v>
      </c>
      <c r="T305" s="17">
        <v>38933</v>
      </c>
      <c r="U305" s="17">
        <f t="shared" si="5"/>
        <v>38933</v>
      </c>
      <c r="V305" s="15" t="s">
        <v>1138</v>
      </c>
      <c r="W305" s="15" t="s">
        <v>1138</v>
      </c>
      <c r="X305" s="15" t="s">
        <v>1138</v>
      </c>
      <c r="Y305" s="15" t="s">
        <v>1135</v>
      </c>
      <c r="Z305" s="15" t="s">
        <v>1139</v>
      </c>
      <c r="AA305" s="15" t="s">
        <v>2153</v>
      </c>
      <c r="AB305" s="13">
        <v>46073</v>
      </c>
      <c r="AC305" s="14"/>
    </row>
    <row r="306" spans="1:29" x14ac:dyDescent="0.35">
      <c r="A306" s="15">
        <v>305</v>
      </c>
      <c r="B306" s="15" t="s">
        <v>2167</v>
      </c>
      <c r="C306" s="16" t="s">
        <v>2171</v>
      </c>
      <c r="D306" s="15" t="s">
        <v>2175</v>
      </c>
      <c r="E306" s="13">
        <v>45934</v>
      </c>
      <c r="F306" s="15" t="s">
        <v>1135</v>
      </c>
      <c r="G306" s="15" t="s">
        <v>1135</v>
      </c>
      <c r="H306" s="15" t="s">
        <v>176</v>
      </c>
      <c r="I306" s="15" t="s">
        <v>2180</v>
      </c>
      <c r="J306" s="19"/>
      <c r="K306" s="15" t="s">
        <v>1135</v>
      </c>
      <c r="L306" s="15" t="s">
        <v>1135</v>
      </c>
      <c r="M306" s="15" t="s">
        <v>1135</v>
      </c>
      <c r="N306" s="15" t="s">
        <v>1135</v>
      </c>
      <c r="O306" s="15" t="s">
        <v>2182</v>
      </c>
      <c r="P306" s="19"/>
      <c r="Q306" s="19"/>
      <c r="R306" s="15">
        <v>35945432</v>
      </c>
      <c r="S306" s="15">
        <v>1</v>
      </c>
      <c r="T306" s="17">
        <v>20900</v>
      </c>
      <c r="U306" s="17">
        <f t="shared" si="5"/>
        <v>20900</v>
      </c>
      <c r="V306" s="15" t="s">
        <v>1138</v>
      </c>
      <c r="W306" s="15" t="s">
        <v>2188</v>
      </c>
      <c r="X306" s="15" t="s">
        <v>1138</v>
      </c>
      <c r="Y306" s="15" t="s">
        <v>2189</v>
      </c>
      <c r="Z306" s="15" t="s">
        <v>2190</v>
      </c>
      <c r="AA306" s="15" t="s">
        <v>2192</v>
      </c>
      <c r="AB306" s="13">
        <v>46074</v>
      </c>
      <c r="AC306" s="14"/>
    </row>
    <row r="307" spans="1:29" x14ac:dyDescent="0.35">
      <c r="A307" s="15">
        <v>306</v>
      </c>
      <c r="B307" s="15" t="s">
        <v>2168</v>
      </c>
      <c r="C307" s="16" t="s">
        <v>2172</v>
      </c>
      <c r="D307" s="15" t="s">
        <v>2176</v>
      </c>
      <c r="E307" s="13">
        <v>46007</v>
      </c>
      <c r="F307" s="15" t="s">
        <v>2179</v>
      </c>
      <c r="G307" s="15" t="s">
        <v>1135</v>
      </c>
      <c r="H307" s="15" t="s">
        <v>176</v>
      </c>
      <c r="I307" s="15" t="s">
        <v>2181</v>
      </c>
      <c r="J307" s="19"/>
      <c r="K307" s="15" t="s">
        <v>1135</v>
      </c>
      <c r="L307" s="15" t="s">
        <v>1135</v>
      </c>
      <c r="M307" s="15" t="s">
        <v>1135</v>
      </c>
      <c r="N307" s="15" t="s">
        <v>1135</v>
      </c>
      <c r="O307" s="15" t="s">
        <v>2183</v>
      </c>
      <c r="P307" s="19"/>
      <c r="Q307" s="19"/>
      <c r="R307" s="15">
        <v>34429584</v>
      </c>
      <c r="S307" s="15">
        <v>1</v>
      </c>
      <c r="T307" s="17">
        <v>9800</v>
      </c>
      <c r="U307" s="17">
        <f t="shared" si="5"/>
        <v>9800</v>
      </c>
      <c r="V307" s="15" t="s">
        <v>1138</v>
      </c>
      <c r="W307" s="15" t="s">
        <v>2188</v>
      </c>
      <c r="X307" s="15" t="s">
        <v>1138</v>
      </c>
      <c r="Y307" s="15" t="s">
        <v>2189</v>
      </c>
      <c r="Z307" s="15" t="s">
        <v>2190</v>
      </c>
      <c r="AA307" s="15" t="s">
        <v>2192</v>
      </c>
      <c r="AB307" s="13">
        <v>46074</v>
      </c>
      <c r="AC307" s="14"/>
    </row>
    <row r="308" spans="1:29" x14ac:dyDescent="0.35">
      <c r="A308" s="15">
        <v>307</v>
      </c>
      <c r="B308" s="15" t="s">
        <v>2168</v>
      </c>
      <c r="C308" s="16" t="s">
        <v>2172</v>
      </c>
      <c r="D308" s="15" t="s">
        <v>2176</v>
      </c>
      <c r="E308" s="13">
        <v>46007</v>
      </c>
      <c r="F308" s="15" t="s">
        <v>2179</v>
      </c>
      <c r="G308" s="15" t="s">
        <v>1135</v>
      </c>
      <c r="H308" s="15" t="s">
        <v>176</v>
      </c>
      <c r="I308" s="15" t="s">
        <v>2181</v>
      </c>
      <c r="J308" s="19"/>
      <c r="K308" s="15" t="s">
        <v>1135</v>
      </c>
      <c r="L308" s="15" t="s">
        <v>1135</v>
      </c>
      <c r="M308" s="15" t="s">
        <v>1135</v>
      </c>
      <c r="N308" s="15" t="s">
        <v>1135</v>
      </c>
      <c r="O308" s="15" t="s">
        <v>2184</v>
      </c>
      <c r="P308" s="19"/>
      <c r="Q308" s="19"/>
      <c r="R308" s="15">
        <v>34348969</v>
      </c>
      <c r="S308" s="15">
        <v>1</v>
      </c>
      <c r="T308" s="17">
        <v>9800</v>
      </c>
      <c r="U308" s="17">
        <f t="shared" si="5"/>
        <v>9800</v>
      </c>
      <c r="V308" s="15" t="s">
        <v>1138</v>
      </c>
      <c r="W308" s="15" t="s">
        <v>2188</v>
      </c>
      <c r="X308" s="15" t="s">
        <v>1138</v>
      </c>
      <c r="Y308" s="15" t="s">
        <v>2189</v>
      </c>
      <c r="Z308" s="15" t="s">
        <v>2190</v>
      </c>
      <c r="AA308" s="15" t="s">
        <v>2192</v>
      </c>
      <c r="AB308" s="13">
        <v>46074</v>
      </c>
      <c r="AC308" s="14"/>
    </row>
    <row r="309" spans="1:29" x14ac:dyDescent="0.35">
      <c r="A309" s="15">
        <v>308</v>
      </c>
      <c r="B309" s="15" t="s">
        <v>2169</v>
      </c>
      <c r="C309" s="16" t="s">
        <v>2173</v>
      </c>
      <c r="D309" s="15" t="s">
        <v>2177</v>
      </c>
      <c r="E309" s="13">
        <v>45945</v>
      </c>
      <c r="F309" s="15" t="s">
        <v>1135</v>
      </c>
      <c r="G309" s="15" t="s">
        <v>1135</v>
      </c>
      <c r="H309" s="15" t="s">
        <v>176</v>
      </c>
      <c r="I309" s="15" t="s">
        <v>2180</v>
      </c>
      <c r="J309" s="19"/>
      <c r="K309" s="15" t="s">
        <v>1135</v>
      </c>
      <c r="L309" s="15" t="s">
        <v>1135</v>
      </c>
      <c r="M309" s="15" t="s">
        <v>1135</v>
      </c>
      <c r="N309" s="15" t="s">
        <v>1135</v>
      </c>
      <c r="O309" s="15" t="s">
        <v>2185</v>
      </c>
      <c r="P309" s="19"/>
      <c r="Q309" s="19"/>
      <c r="R309" s="15">
        <v>33384318</v>
      </c>
      <c r="S309" s="15">
        <v>1</v>
      </c>
      <c r="T309" s="17">
        <v>7619</v>
      </c>
      <c r="U309" s="17">
        <f t="shared" si="5"/>
        <v>7619</v>
      </c>
      <c r="V309" s="15" t="s">
        <v>1138</v>
      </c>
      <c r="W309" s="15" t="s">
        <v>2188</v>
      </c>
      <c r="X309" s="15" t="s">
        <v>1138</v>
      </c>
      <c r="Y309" s="15" t="s">
        <v>2189</v>
      </c>
      <c r="Z309" s="15" t="s">
        <v>2190</v>
      </c>
      <c r="AA309" s="15" t="s">
        <v>2192</v>
      </c>
      <c r="AB309" s="13">
        <v>46074</v>
      </c>
      <c r="AC309" s="14"/>
    </row>
    <row r="310" spans="1:29" x14ac:dyDescent="0.35">
      <c r="A310" s="15">
        <v>309</v>
      </c>
      <c r="B310" s="15" t="s">
        <v>2169</v>
      </c>
      <c r="C310" s="16" t="s">
        <v>2173</v>
      </c>
      <c r="D310" s="15" t="s">
        <v>2177</v>
      </c>
      <c r="E310" s="13">
        <v>45945</v>
      </c>
      <c r="F310" s="15" t="s">
        <v>1135</v>
      </c>
      <c r="G310" s="15" t="s">
        <v>1135</v>
      </c>
      <c r="H310" s="15" t="s">
        <v>176</v>
      </c>
      <c r="I310" s="15" t="s">
        <v>2180</v>
      </c>
      <c r="J310" s="19"/>
      <c r="K310" s="15" t="s">
        <v>1135</v>
      </c>
      <c r="L310" s="15" t="s">
        <v>1135</v>
      </c>
      <c r="M310" s="15" t="s">
        <v>1135</v>
      </c>
      <c r="N310" s="15" t="s">
        <v>1135</v>
      </c>
      <c r="O310" s="15" t="s">
        <v>2186</v>
      </c>
      <c r="P310" s="19"/>
      <c r="Q310" s="19"/>
      <c r="R310" s="15">
        <v>35592119</v>
      </c>
      <c r="S310" s="15">
        <v>1</v>
      </c>
      <c r="T310" s="17">
        <v>7619</v>
      </c>
      <c r="U310" s="17">
        <f t="shared" si="5"/>
        <v>7619</v>
      </c>
      <c r="V310" s="15" t="s">
        <v>1138</v>
      </c>
      <c r="W310" s="15" t="s">
        <v>2188</v>
      </c>
      <c r="X310" s="15" t="s">
        <v>1138</v>
      </c>
      <c r="Y310" s="15" t="s">
        <v>2189</v>
      </c>
      <c r="Z310" s="15" t="s">
        <v>2190</v>
      </c>
      <c r="AA310" s="15" t="s">
        <v>2192</v>
      </c>
      <c r="AB310" s="13">
        <v>46074</v>
      </c>
      <c r="AC310" s="14"/>
    </row>
    <row r="311" spans="1:29" x14ac:dyDescent="0.35">
      <c r="A311" s="15">
        <v>310</v>
      </c>
      <c r="B311" s="15" t="s">
        <v>2170</v>
      </c>
      <c r="C311" s="16" t="s">
        <v>2174</v>
      </c>
      <c r="D311" s="15" t="s">
        <v>2178</v>
      </c>
      <c r="E311" s="13">
        <v>45996</v>
      </c>
      <c r="F311" s="15" t="s">
        <v>1135</v>
      </c>
      <c r="G311" s="15" t="s">
        <v>1135</v>
      </c>
      <c r="H311" s="15" t="s">
        <v>176</v>
      </c>
      <c r="I311" s="15" t="s">
        <v>2181</v>
      </c>
      <c r="J311" s="19"/>
      <c r="K311" s="15" t="s">
        <v>1135</v>
      </c>
      <c r="L311" s="15" t="s">
        <v>1135</v>
      </c>
      <c r="M311" s="15" t="s">
        <v>1135</v>
      </c>
      <c r="N311" s="15" t="s">
        <v>1135</v>
      </c>
      <c r="O311" s="15" t="s">
        <v>2187</v>
      </c>
      <c r="P311" s="19"/>
      <c r="Q311" s="19"/>
      <c r="R311" s="15">
        <v>35273429</v>
      </c>
      <c r="S311" s="15">
        <v>1</v>
      </c>
      <c r="T311" s="17">
        <v>9800</v>
      </c>
      <c r="U311" s="17">
        <f t="shared" si="5"/>
        <v>9800</v>
      </c>
      <c r="V311" s="15" t="s">
        <v>1138</v>
      </c>
      <c r="W311" s="15" t="s">
        <v>2188</v>
      </c>
      <c r="X311" s="15" t="s">
        <v>1138</v>
      </c>
      <c r="Y311" s="15" t="s">
        <v>2189</v>
      </c>
      <c r="Z311" s="15" t="s">
        <v>2190</v>
      </c>
      <c r="AA311" s="15" t="s">
        <v>2192</v>
      </c>
      <c r="AB311" s="13">
        <v>46074</v>
      </c>
      <c r="AC311" s="14"/>
    </row>
  </sheetData>
  <autoFilter ref="A1:AB305" xr:uid="{F3C5568D-7681-4329-8D18-88CCF4989797}"/>
  <hyperlinks>
    <hyperlink ref="C2" r:id="rId1" xr:uid="{CC4DD5C5-37C7-4A47-884F-A679E71DFCC7}"/>
    <hyperlink ref="C3" r:id="rId2" xr:uid="{4FA2FBE4-9B9D-4818-8B66-B78BD79FCBB2}"/>
    <hyperlink ref="C4" r:id="rId3" xr:uid="{238F69B6-290E-4276-86CD-FF7766469895}"/>
    <hyperlink ref="C5" r:id="rId4" xr:uid="{359488C0-4AAD-456F-95C6-8FF464622EED}"/>
    <hyperlink ref="C6" r:id="rId5" xr:uid="{D9205AAB-ADCC-4A3D-9FCF-B0183A704480}"/>
    <hyperlink ref="C7" r:id="rId6" xr:uid="{2E0AE599-AD2E-4855-A994-A2D8FBDDC3B0}"/>
    <hyperlink ref="C8" r:id="rId7" xr:uid="{E40A6597-7563-4F7D-9AF1-EB0322B65733}"/>
    <hyperlink ref="C9" r:id="rId8" xr:uid="{F37157C8-5FEF-4B4D-896B-CB3AEBDB9735}"/>
    <hyperlink ref="C10" r:id="rId9" xr:uid="{44768382-7634-43C8-84ED-2F848A7C96BF}"/>
    <hyperlink ref="C11" r:id="rId10" xr:uid="{BC998B76-5CE4-4DB2-9CF4-0490CCA606F7}"/>
    <hyperlink ref="C12" r:id="rId11" xr:uid="{20A3FC11-6DAD-4F03-9FED-D7A53FC2F8F1}"/>
    <hyperlink ref="C13" r:id="rId12" xr:uid="{8C2BB6E2-106A-43DC-83BD-E65131381676}"/>
    <hyperlink ref="C14" r:id="rId13" xr:uid="{E8F9A43E-CFD4-4FC8-A90F-D172ED3136EE}"/>
    <hyperlink ref="C15" r:id="rId14" xr:uid="{DE790B2B-4D79-404D-B70B-1FBAE6DEBF59}"/>
    <hyperlink ref="C16" r:id="rId15" xr:uid="{785B11BE-820E-4DEB-A538-368A9F637995}"/>
    <hyperlink ref="C17" r:id="rId16" xr:uid="{3C7A0145-28F5-4100-B2D3-70854BAF045D}"/>
    <hyperlink ref="C18" r:id="rId17" xr:uid="{14D49F35-5188-4B45-A986-AA98541A247A}"/>
    <hyperlink ref="C19" r:id="rId18" xr:uid="{01A37D05-ECDA-4F5F-84CA-E28874A3D5F4}"/>
    <hyperlink ref="C20" r:id="rId19" xr:uid="{209D8567-B76D-4300-B0A9-9666B5A02FE6}"/>
    <hyperlink ref="C21" r:id="rId20" xr:uid="{D178BDC8-BE66-4409-AE4E-FF05557B1992}"/>
    <hyperlink ref="C22" r:id="rId21" xr:uid="{1C34735C-D658-486A-ACE3-82E0C21B3403}"/>
    <hyperlink ref="C23" r:id="rId22" xr:uid="{72FCC4F6-D621-4C7E-A7F0-FB46E53C2953}"/>
    <hyperlink ref="C24" r:id="rId23" xr:uid="{C28A337D-9366-43E9-B2C1-6267B0DB31F5}"/>
    <hyperlink ref="C25" r:id="rId24" xr:uid="{1DBDDE4C-3133-4896-9D93-65EAB79BC7E4}"/>
    <hyperlink ref="C26" r:id="rId25" xr:uid="{20036A66-4991-48E6-B4DF-48197AC500B0}"/>
    <hyperlink ref="C27" r:id="rId26" xr:uid="{8BD2DF02-D0C0-4CD1-9C38-E5962B75A2D7}"/>
    <hyperlink ref="C28" r:id="rId27" xr:uid="{E1ED319B-8824-42C8-8DB9-B09ABE358643}"/>
    <hyperlink ref="C29" r:id="rId28" xr:uid="{BAAFCDE2-F423-4B83-B20E-59BABD80B968}"/>
    <hyperlink ref="C30" r:id="rId29" xr:uid="{1B9D4591-3BE1-43E6-95C8-8596D9CD6064}"/>
    <hyperlink ref="C31" r:id="rId30" xr:uid="{95797549-E0C3-49C1-A147-CB1076559DC0}"/>
    <hyperlink ref="C32" r:id="rId31" xr:uid="{D394BE8D-C423-466B-801E-2698B9A95460}"/>
    <hyperlink ref="C33" r:id="rId32" xr:uid="{B2E692B0-C1D5-4C68-BED3-A10B1FF5C3E6}"/>
    <hyperlink ref="C34" r:id="rId33" xr:uid="{670A3DB8-4768-42EB-AB18-81D5123FEFA6}"/>
    <hyperlink ref="C35" r:id="rId34" xr:uid="{02A32D80-AC4C-4387-A7C9-EE173D82282F}"/>
    <hyperlink ref="C36" r:id="rId35" xr:uid="{D2A0F9A4-9771-4E52-82D4-5EF35721BF55}"/>
    <hyperlink ref="C37" r:id="rId36" xr:uid="{8B7669F1-23E8-4568-8A21-B9519CAF6C09}"/>
    <hyperlink ref="C38" r:id="rId37" xr:uid="{084CA52D-EBF8-4411-88D8-DD17B07894E6}"/>
    <hyperlink ref="C39" r:id="rId38" xr:uid="{36F65860-A7A4-4EF7-91FF-F802ADB812CB}"/>
    <hyperlink ref="C40" r:id="rId39" xr:uid="{15DD8CB4-02B1-4E80-85DC-62BB677BC63B}"/>
    <hyperlink ref="C41" r:id="rId40" xr:uid="{FE9A5E9F-C09E-46C9-9129-5326F165A7EC}"/>
    <hyperlink ref="C42" r:id="rId41" xr:uid="{E200D494-A2D1-4D18-B763-F63A0222E625}"/>
    <hyperlink ref="C43" r:id="rId42" xr:uid="{39820068-DC9E-4694-A51A-AE13B51572BF}"/>
    <hyperlink ref="C44" r:id="rId43" xr:uid="{4E94CA4B-DB35-4690-97D2-22B2E53EDC89}"/>
    <hyperlink ref="C45" r:id="rId44" xr:uid="{76D029E5-550F-4E69-BD25-FD0DF11D75D8}"/>
    <hyperlink ref="C46" r:id="rId45" xr:uid="{A0B056E2-F54A-499B-89D1-12DBA99DF5D2}"/>
    <hyperlink ref="C47" r:id="rId46" xr:uid="{CACD553B-DFDB-4C81-9854-8454659A96C0}"/>
    <hyperlink ref="C48" r:id="rId47" xr:uid="{1C8370B7-237F-43A5-B7C6-AD156496F0CF}"/>
    <hyperlink ref="C49" r:id="rId48" xr:uid="{B5DFA6FC-A3C4-4C65-AA12-743FC755E183}"/>
    <hyperlink ref="C50" r:id="rId49" xr:uid="{5A0C027A-C426-4BA6-BADC-100B4C3E7BDC}"/>
    <hyperlink ref="C51" r:id="rId50" xr:uid="{67D2F9E9-219C-468C-8A46-5191449F4BEA}"/>
    <hyperlink ref="C52" r:id="rId51" xr:uid="{AE8FB6BD-FDBC-4ECD-A0FC-BE8E04264C0E}"/>
    <hyperlink ref="C53" r:id="rId52" xr:uid="{5750B42F-49D4-47BC-B607-5D81B772D7EA}"/>
    <hyperlink ref="C54" r:id="rId53" xr:uid="{8E548758-CEC2-4FCF-ACBA-389464D06AC4}"/>
    <hyperlink ref="C55" r:id="rId54" xr:uid="{7C751B10-54D5-4FAB-AA62-9221F4932BE2}"/>
    <hyperlink ref="C56" r:id="rId55" xr:uid="{552821E1-9436-415A-99D6-82D8FDA5CF9F}"/>
    <hyperlink ref="C57" r:id="rId56" xr:uid="{9F0AD80D-2080-413C-8F79-8B2B36403568}"/>
    <hyperlink ref="C58" r:id="rId57" xr:uid="{D1B62F18-7B5C-4DEF-8792-41FAFC2B600F}"/>
    <hyperlink ref="C59" r:id="rId58" xr:uid="{5EAB164B-0F67-4CF5-8D3E-3C216990AF98}"/>
    <hyperlink ref="C60" r:id="rId59" xr:uid="{044E2A17-A2C8-458D-9CB8-6FA7FDBAE247}"/>
    <hyperlink ref="C61" r:id="rId60" xr:uid="{297E6C46-F348-43AE-A74B-685381920204}"/>
    <hyperlink ref="C62" r:id="rId61" xr:uid="{4AC6384B-2AF0-4480-AC7D-3B59AD77CC2E}"/>
    <hyperlink ref="C63" r:id="rId62" xr:uid="{8410D857-3C73-4884-B95B-5410C8A7E6F0}"/>
    <hyperlink ref="C64" r:id="rId63" xr:uid="{9FC6C891-8DC0-47F4-86A1-663146426D07}"/>
    <hyperlink ref="C65" r:id="rId64" xr:uid="{7905FB53-9174-42F3-9B9C-8727F7B3F566}"/>
    <hyperlink ref="C66" r:id="rId65" xr:uid="{A74AA19B-0CB9-4E23-B6AB-4B4D862FF32E}"/>
    <hyperlink ref="C67" r:id="rId66" xr:uid="{710DEEA6-3EAB-41E4-8128-B6EB8ED71414}"/>
    <hyperlink ref="C68" r:id="rId67" xr:uid="{944DA4C8-A0F2-4E7E-B2DB-03B009D7B9E1}"/>
    <hyperlink ref="C69" r:id="rId68" xr:uid="{A6C5D89E-979D-404E-BBBF-41D14465501B}"/>
    <hyperlink ref="C70" r:id="rId69" xr:uid="{131294CB-A3FB-41B0-8AA2-AE15E6FB5A08}"/>
    <hyperlink ref="C71" r:id="rId70" xr:uid="{64B3D699-B338-47E2-AF40-7C490810A29D}"/>
    <hyperlink ref="C72" r:id="rId71" xr:uid="{4492A344-5797-4F51-98A3-E939B499328B}"/>
    <hyperlink ref="C73" r:id="rId72" xr:uid="{A6D27E30-7E84-41A2-A608-9C9CFC1B3E1A}"/>
    <hyperlink ref="C74" r:id="rId73" xr:uid="{5934A84F-96B7-41AF-99F8-AF8376F42F61}"/>
    <hyperlink ref="C75" r:id="rId74" xr:uid="{393D4DF0-7851-4954-9C58-4A07B826EE30}"/>
    <hyperlink ref="C76" r:id="rId75" xr:uid="{898C5B40-FB96-40BF-B954-57C1DD8CE45F}"/>
    <hyperlink ref="C77" r:id="rId76" xr:uid="{75AC59CA-69E5-4AC3-A211-A6D7BE6A8FE9}"/>
    <hyperlink ref="C78" r:id="rId77" xr:uid="{F7DE9EEF-267B-4767-8208-49EDD8E1191F}"/>
    <hyperlink ref="C79" r:id="rId78" xr:uid="{AA7AEAAE-C78D-4639-AE00-FCD11EB748A6}"/>
    <hyperlink ref="C80" r:id="rId79" xr:uid="{6A207858-B3CC-43CF-AD67-954435600773}"/>
    <hyperlink ref="C81" r:id="rId80" xr:uid="{47472FEA-0650-4779-8727-785B5ED85BDF}"/>
    <hyperlink ref="C82" r:id="rId81" xr:uid="{0EE6432E-6657-4EB3-9AC0-D35902640754}"/>
    <hyperlink ref="C83" r:id="rId82" xr:uid="{B0FDB6D5-B27F-4501-B354-7967A5E17FCE}"/>
    <hyperlink ref="C84" r:id="rId83" xr:uid="{FA67F634-1F4D-47DF-A6B3-6CEB107FCFF5}"/>
    <hyperlink ref="C85" r:id="rId84" xr:uid="{1009E102-C164-457E-B706-C4A50229350A}"/>
    <hyperlink ref="C86" r:id="rId85" xr:uid="{D758B6DB-B09A-43D0-A4F7-4090A84E62FB}"/>
    <hyperlink ref="C87" r:id="rId86" xr:uid="{E3708370-388F-4E5D-B770-1647738EE7AF}"/>
    <hyperlink ref="C88" r:id="rId87" xr:uid="{D9AC63CD-4D3D-4CEF-B9D0-C01695C60834}"/>
    <hyperlink ref="C89" r:id="rId88" xr:uid="{C32F2C07-B799-4614-818E-84C875D3F41C}"/>
    <hyperlink ref="C90" r:id="rId89" xr:uid="{D776D292-8F6C-4FD9-836C-2AE6E5483A94}"/>
    <hyperlink ref="C91" r:id="rId90" xr:uid="{57966025-FA16-4AEA-BFBF-FFE5818F8EED}"/>
    <hyperlink ref="C92" r:id="rId91" xr:uid="{D90EA9F7-CC1A-4B98-9014-4C8DBECDD085}"/>
    <hyperlink ref="C93" r:id="rId92" xr:uid="{E3AAD016-81BD-43F0-97E3-6A4A51B9E637}"/>
    <hyperlink ref="C94" r:id="rId93" xr:uid="{1C39C69F-51DD-4847-B847-84C774D84FB6}"/>
    <hyperlink ref="C95" r:id="rId94" xr:uid="{C0F4C600-0CCE-4F4B-87E0-B2A3C8E55DC3}"/>
    <hyperlink ref="C96" r:id="rId95" xr:uid="{FB47A0B9-AAE7-4DE4-978F-FA0B8BD89735}"/>
    <hyperlink ref="C97" r:id="rId96" xr:uid="{E27A0B8D-5393-42B2-863A-ED42654CDC85}"/>
    <hyperlink ref="C98" r:id="rId97" xr:uid="{2268464D-1F9A-4CD5-8F3D-4CF40AB0AE34}"/>
    <hyperlink ref="C99" r:id="rId98" xr:uid="{38BC4937-8B0E-43AA-9579-88C288D75D79}"/>
    <hyperlink ref="C100" r:id="rId99" xr:uid="{6E35DA00-E157-47CC-9A35-24FFDCBD2428}"/>
    <hyperlink ref="C101" r:id="rId100" xr:uid="{97BDB786-680F-4C54-BBAA-5DA6E4220D9A}"/>
    <hyperlink ref="C102" r:id="rId101" xr:uid="{FC21A968-91D3-4658-9970-03869F8FF24A}"/>
    <hyperlink ref="C103" r:id="rId102" xr:uid="{7A00BB3A-B9CC-49CB-8C8C-CB14D8CCE3A7}"/>
    <hyperlink ref="C104" r:id="rId103" xr:uid="{7BB1295E-0766-4D09-8512-C536DB509391}"/>
    <hyperlink ref="C105" r:id="rId104" xr:uid="{8A56610F-74A4-46DE-A3F0-9001C7174616}"/>
    <hyperlink ref="C106" r:id="rId105" xr:uid="{34CE0FD3-05CA-473E-8DDB-04CC14862692}"/>
    <hyperlink ref="C107" r:id="rId106" xr:uid="{546A9A38-0A31-44F3-98DC-5A1FB0AB6CA6}"/>
    <hyperlink ref="C108" r:id="rId107" xr:uid="{8B60F66E-87FD-4263-A1EE-1513815244DF}"/>
    <hyperlink ref="C109" r:id="rId108" xr:uid="{58B032C9-73F7-46A5-A1F3-C4CC58474B1C}"/>
    <hyperlink ref="C110" r:id="rId109" xr:uid="{465510A6-41D9-4242-BD7B-002C8E3A27FE}"/>
    <hyperlink ref="C111" r:id="rId110" xr:uid="{B76F0814-7B65-45AB-A80B-3AB9406306B5}"/>
    <hyperlink ref="C112" r:id="rId111" xr:uid="{8E79AD3C-FB0C-461D-9521-3E71E8127C84}"/>
    <hyperlink ref="C113" r:id="rId112" xr:uid="{EC5FAB5A-17AA-441C-844B-126E6445126B}"/>
    <hyperlink ref="C114" r:id="rId113" xr:uid="{6C28446C-0C99-4A1D-9551-8DDE8913C6A1}"/>
    <hyperlink ref="C115" r:id="rId114" xr:uid="{9525B636-87A5-4692-97DA-3EC2139D1453}"/>
    <hyperlink ref="C116" r:id="rId115" xr:uid="{132405AD-F1B5-4D27-A7C2-A5BB356DD053}"/>
    <hyperlink ref="C117" r:id="rId116" xr:uid="{EE675951-2952-4928-B5C1-77A2BA0D1311}"/>
    <hyperlink ref="C118" r:id="rId117" xr:uid="{6ADAB3A4-BA53-44E4-A57B-7F530350432D}"/>
    <hyperlink ref="C119" r:id="rId118" xr:uid="{6206EB2B-6B3E-40E9-8632-8F7387FBAD7C}"/>
    <hyperlink ref="C120" r:id="rId119" xr:uid="{9251C2B6-02AC-45DF-9E10-4D6A8EF2D666}"/>
    <hyperlink ref="C121" r:id="rId120" xr:uid="{A575BBF1-3959-433F-8FE3-AAAB63F12D90}"/>
    <hyperlink ref="C122" r:id="rId121" xr:uid="{FB61B0B0-8303-4637-A828-C5CD274378AD}"/>
    <hyperlink ref="C123" r:id="rId122" xr:uid="{0667D3AE-BC3E-49A6-A81A-E3B8AE025EF6}"/>
    <hyperlink ref="C124" r:id="rId123" xr:uid="{2FCE16EC-BAAD-4DA0-80FB-4A378385394B}"/>
    <hyperlink ref="C125" r:id="rId124" xr:uid="{1B56A5EE-3057-4D11-9F56-BBD8DA5EA1FB}"/>
    <hyperlink ref="C126" r:id="rId125" xr:uid="{DEF587ED-8319-48B2-9E7F-22846E5B9B39}"/>
    <hyperlink ref="C127" r:id="rId126" xr:uid="{967A87C1-2A6D-4FB4-A780-DB627F84FF1E}"/>
    <hyperlink ref="C128" r:id="rId127" xr:uid="{6E37AE18-8BA6-4E8C-B35E-A3E328C4360F}"/>
    <hyperlink ref="C129" r:id="rId128" xr:uid="{7ECB035E-F4E4-48CF-B7D0-B7B420CCAF73}"/>
    <hyperlink ref="C130" r:id="rId129" xr:uid="{300D2728-C169-4195-BC40-92BCAC2F5034}"/>
    <hyperlink ref="C131" r:id="rId130" xr:uid="{99E1A04E-BEC5-4E88-A0D7-294E9FD46B76}"/>
    <hyperlink ref="C132" r:id="rId131" xr:uid="{EDF3EAB5-071C-42B6-9FA9-C00F9C7637D0}"/>
    <hyperlink ref="C133" r:id="rId132" xr:uid="{D46B64E2-705E-4427-9358-3F50C4E342DA}"/>
    <hyperlink ref="C134" r:id="rId133" xr:uid="{82185F41-5BEF-4AE4-A4A8-732AB62E66EF}"/>
    <hyperlink ref="C135" r:id="rId134" xr:uid="{D35D3554-7FFF-4F5D-970C-2177797678B2}"/>
    <hyperlink ref="C136" r:id="rId135" xr:uid="{52AACEDF-60EE-411C-AA13-2CC621D56078}"/>
    <hyperlink ref="C137" r:id="rId136" xr:uid="{26B25E0D-AA35-4529-BEB7-3FA04C84BBBF}"/>
    <hyperlink ref="C138" r:id="rId137" xr:uid="{FD80723A-E92A-46BC-BB77-E11A82EA6764}"/>
    <hyperlink ref="C139" r:id="rId138" xr:uid="{907A836C-EFEA-4A16-9BBA-B15F30C356EC}"/>
    <hyperlink ref="C140" r:id="rId139" xr:uid="{BC7B10E6-C26E-45F9-A262-96083BE3BB72}"/>
    <hyperlink ref="C141" r:id="rId140" xr:uid="{EADD8B82-74F3-4BEC-99C7-352DE336FAF7}"/>
    <hyperlink ref="C142" r:id="rId141" xr:uid="{2BF81F83-EDBF-4BCE-9404-90EE531203B0}"/>
    <hyperlink ref="C143" r:id="rId142" xr:uid="{CB109E3B-D74F-46EB-A031-9DD5A866A2F3}"/>
    <hyperlink ref="C144" r:id="rId143" xr:uid="{1373DC71-5858-4949-9035-F8CC9B38970D}"/>
    <hyperlink ref="C145" r:id="rId144" xr:uid="{E2213B4A-F583-495E-A31A-ADF0934252AA}"/>
    <hyperlink ref="C146" r:id="rId145" xr:uid="{3543BF14-3C4A-4D74-BAB6-FEAF3FC2016D}"/>
    <hyperlink ref="C147" r:id="rId146" xr:uid="{0D0B553D-BD39-40A5-BF02-94FBA51644A7}"/>
    <hyperlink ref="C148" r:id="rId147" xr:uid="{CB75AC79-92C5-4C8F-BFEB-6448BC0BEBA6}"/>
    <hyperlink ref="C149" r:id="rId148" xr:uid="{D2306BD3-50E3-4A8E-8070-CD5632D9B20C}"/>
    <hyperlink ref="C150" r:id="rId149" xr:uid="{14E9B2C9-72E6-4F1B-8180-11884F860B00}"/>
    <hyperlink ref="C151" r:id="rId150" xr:uid="{4EC79D66-9D2B-45A2-B15E-3A60E2DCD828}"/>
    <hyperlink ref="C152" r:id="rId151" xr:uid="{7097F435-DF21-42DC-A19C-E23DEDD9F2A6}"/>
    <hyperlink ref="C153" r:id="rId152" xr:uid="{A1B91969-96A4-4246-908D-66090F0C0C4F}"/>
    <hyperlink ref="C154" r:id="rId153" xr:uid="{E8F3C497-59C7-439C-B5EA-367FA8E81CF1}"/>
    <hyperlink ref="C155" r:id="rId154" xr:uid="{24D3E104-AF5B-47C2-A655-A0265D78C926}"/>
    <hyperlink ref="C156" r:id="rId155" xr:uid="{DE403995-719D-4F64-89A1-CF60D0AE5369}"/>
    <hyperlink ref="C157" r:id="rId156" xr:uid="{FD2082D6-AC90-4E75-8075-552900196847}"/>
    <hyperlink ref="C158" r:id="rId157" xr:uid="{89EAC6CB-D87A-46FC-A4E9-60D4BD266471}"/>
    <hyperlink ref="C159" r:id="rId158" xr:uid="{35B20878-E490-4CE1-A8F6-36A8244B0CFF}"/>
    <hyperlink ref="C160" r:id="rId159" xr:uid="{CE6821B6-167D-43B0-8F08-1D9D01274A69}"/>
    <hyperlink ref="C161" r:id="rId160" xr:uid="{3B18261A-F418-4A30-A740-97C052DEF81B}"/>
    <hyperlink ref="C162" r:id="rId161" xr:uid="{379265C3-CC9C-470E-B97C-2D02D60B3DE1}"/>
    <hyperlink ref="C163" r:id="rId162" xr:uid="{FA9CD6FB-3226-4A66-B535-FCC763BFC4E8}"/>
    <hyperlink ref="C164" r:id="rId163" xr:uid="{C7331452-EF49-43E5-976E-C1AC8B764DD9}"/>
    <hyperlink ref="C165" r:id="rId164" xr:uid="{6A229268-8554-4BAB-A11E-21823FD3EDFD}"/>
    <hyperlink ref="C166" r:id="rId165" xr:uid="{3A625FF5-5306-4E8C-A830-03EE9990BA35}"/>
    <hyperlink ref="C167" r:id="rId166" xr:uid="{E3256CB0-4FF2-4B56-A811-8D477938105A}"/>
    <hyperlink ref="C168" r:id="rId167" xr:uid="{F2607E00-55C6-4944-8930-BA47F9C2B1A9}"/>
    <hyperlink ref="C169" r:id="rId168" xr:uid="{CD283D1D-8FA9-4585-B80E-107DF34023AB}"/>
    <hyperlink ref="C170" r:id="rId169" xr:uid="{471AC38D-1EBA-4D68-B5A3-774A92DD11F1}"/>
    <hyperlink ref="C171" r:id="rId170" xr:uid="{D06B0836-587F-4C4D-BF89-8B89C62E8AE1}"/>
    <hyperlink ref="C172" r:id="rId171" xr:uid="{B66F9863-EB5A-46F6-BBC9-E432689DB2EC}"/>
    <hyperlink ref="C173" r:id="rId172" xr:uid="{49970735-04D4-4765-A398-88F0E943A3C5}"/>
    <hyperlink ref="C174" r:id="rId173" xr:uid="{8A11DB0D-9416-490C-AAF3-548E6033901E}"/>
    <hyperlink ref="C175" r:id="rId174" xr:uid="{C5ED84B6-CFF2-443D-8FEB-125F50CB274B}"/>
    <hyperlink ref="C176" r:id="rId175" xr:uid="{9CF99D7E-CCEF-41A5-B56A-68BC3F3E624A}"/>
    <hyperlink ref="C177" r:id="rId176" xr:uid="{CD284AF7-2507-4806-AC40-CF78BC4CA59A}"/>
    <hyperlink ref="C178" r:id="rId177" xr:uid="{06B07F04-3D68-4F3E-8FB2-042E58A12EFC}"/>
    <hyperlink ref="C179" r:id="rId178" xr:uid="{C72BB1F4-37BB-4D78-851B-9ED5C78E1AD6}"/>
    <hyperlink ref="C180" r:id="rId179" xr:uid="{75AC2DEF-936E-48EC-BFBD-BD9D4594EF55}"/>
    <hyperlink ref="C181" r:id="rId180" xr:uid="{F6605894-6E06-46F6-B833-E22CCC926D96}"/>
    <hyperlink ref="C182" r:id="rId181" xr:uid="{69403EF0-AC57-4835-817C-8DD89A4DF2CE}"/>
    <hyperlink ref="C183" r:id="rId182" xr:uid="{6FF2282B-D21A-4EBA-A589-34498DC476EA}"/>
    <hyperlink ref="C184" r:id="rId183" xr:uid="{258E33E2-6A3A-4781-A5BB-A4F8E015C67C}"/>
    <hyperlink ref="C185" r:id="rId184" xr:uid="{3914895D-ED7B-413B-B342-0FFFD458346D}"/>
    <hyperlink ref="C186" r:id="rId185" xr:uid="{C1891BA1-7620-4EF6-8F89-08525B145502}"/>
    <hyperlink ref="C187" r:id="rId186" xr:uid="{8D721A6A-9528-4631-A3D3-81730529C83B}"/>
    <hyperlink ref="C188" r:id="rId187" xr:uid="{1E889451-712B-45B7-8B38-A0BE178BF319}"/>
    <hyperlink ref="C189" r:id="rId188" xr:uid="{E36D1DD1-BDE9-4118-B740-7E79ADF15304}"/>
    <hyperlink ref="C190" r:id="rId189" xr:uid="{83BA9224-5377-4BA8-BE53-6BE482F47CF6}"/>
    <hyperlink ref="C191" r:id="rId190" xr:uid="{4B0CAD97-A633-45F9-97CD-4FF3B17BA70B}"/>
    <hyperlink ref="C192" r:id="rId191" xr:uid="{892F0673-01B3-4934-9D47-07EEE42E48B8}"/>
    <hyperlink ref="C193" r:id="rId192" xr:uid="{3806DD72-5424-4CD4-A431-714EA6D9D8ED}"/>
    <hyperlink ref="C194" r:id="rId193" xr:uid="{15CDE81E-7523-4292-B121-E1C22C9E611A}"/>
    <hyperlink ref="C195" r:id="rId194" xr:uid="{4B0E4988-53C6-487D-865F-C65922067737}"/>
    <hyperlink ref="C196" r:id="rId195" xr:uid="{A07B98D2-2A7C-4FAE-9597-335D482091EE}"/>
    <hyperlink ref="C197" r:id="rId196" xr:uid="{3EC77955-1B47-449E-91AB-4A22A9D60DB2}"/>
    <hyperlink ref="C198" r:id="rId197" xr:uid="{67BEC1BA-FDDA-42D0-8950-E7E0BCC53D03}"/>
    <hyperlink ref="C199" r:id="rId198" xr:uid="{1062519A-7954-4908-8CBF-12D22F5BDFFF}"/>
    <hyperlink ref="C200" r:id="rId199" xr:uid="{98ABB471-6475-42D5-B09E-018FD127E07A}"/>
    <hyperlink ref="C201" r:id="rId200" xr:uid="{053916EC-526A-46CF-837D-1BD7A3C40B03}"/>
    <hyperlink ref="C202" r:id="rId201" xr:uid="{C0074E67-BADB-4277-9F19-334DAEC4A95B}"/>
    <hyperlink ref="C203" r:id="rId202" xr:uid="{CF683590-1533-4B0A-8C04-66599CAE3EAA}"/>
    <hyperlink ref="C204" r:id="rId203" xr:uid="{908F451A-E2B7-452A-8999-DBD73433FB67}"/>
    <hyperlink ref="C205" r:id="rId204" xr:uid="{DCAB7F98-752B-4D22-AFBE-86BC3078A115}"/>
    <hyperlink ref="C206" r:id="rId205" xr:uid="{A293C718-0176-4594-A1E6-3AE43484099E}"/>
    <hyperlink ref="C207" r:id="rId206" xr:uid="{2A137A42-DFB8-4C1C-A2EC-D4248EC59EC5}"/>
    <hyperlink ref="C208" r:id="rId207" xr:uid="{A50350C3-9D81-46F4-9E6B-507262DF7417}"/>
    <hyperlink ref="C209" r:id="rId208" xr:uid="{3C74DB9F-744B-41FD-A1BD-1FE3923A8A37}"/>
    <hyperlink ref="C210" r:id="rId209" xr:uid="{B1CA3547-A069-458F-9C47-B26EB3923AC8}"/>
    <hyperlink ref="C211" r:id="rId210" xr:uid="{64C1C9B1-0F45-4C47-BB6A-8A983109414F}"/>
    <hyperlink ref="C212" r:id="rId211" xr:uid="{A3F717E5-65DE-4110-8866-D2C2B3B004E6}"/>
    <hyperlink ref="C213" r:id="rId212" xr:uid="{5839A68E-EFEA-4F02-B186-9E759EEE4570}"/>
    <hyperlink ref="C214" r:id="rId213" xr:uid="{ED3BE886-2966-48D5-B2A1-7374AE4C4F7B}"/>
    <hyperlink ref="C215" r:id="rId214" xr:uid="{E1036677-8BB8-4225-8D30-0CBEFFEA7E6F}"/>
    <hyperlink ref="C216" r:id="rId215" xr:uid="{2B3DEA97-AD17-46E1-B51C-DCA751950E2B}"/>
    <hyperlink ref="C217" r:id="rId216" xr:uid="{889B9265-7334-4FD0-A913-E5C2F42D47D5}"/>
    <hyperlink ref="C218" r:id="rId217" xr:uid="{32892A29-2EAA-4405-A843-70BD50F5A88E}"/>
    <hyperlink ref="C219" r:id="rId218" xr:uid="{5854A0AF-FCF8-4342-A2EF-F346BDE82673}"/>
    <hyperlink ref="C220" r:id="rId219" xr:uid="{9F021B0A-B575-4C1C-BBAD-B7AD917FB026}"/>
    <hyperlink ref="C221" r:id="rId220" xr:uid="{F96E1E99-8BDD-4D34-9C3A-22C77EBD2E54}"/>
    <hyperlink ref="C222" r:id="rId221" xr:uid="{B0BAC80B-8D6F-4438-9F6C-35341F610C30}"/>
    <hyperlink ref="C223" r:id="rId222" xr:uid="{0CBF0363-3045-4A98-9550-92AAA576C2E6}"/>
    <hyperlink ref="C224" r:id="rId223" xr:uid="{EED5C040-81CC-4242-941E-810765663D52}"/>
    <hyperlink ref="C225" r:id="rId224" xr:uid="{02BD557B-30A1-4068-A9C3-F6238DE42434}"/>
    <hyperlink ref="C226" r:id="rId225" xr:uid="{1EF9A1D9-E50E-4AD0-ADE9-AAE0985D77E4}"/>
    <hyperlink ref="C227" r:id="rId226" xr:uid="{4BFCF5AF-8828-4DD9-8B88-120E4A0E2566}"/>
    <hyperlink ref="C228" r:id="rId227" xr:uid="{B4AC7158-132F-4EE8-9152-88A89DDD6AA0}"/>
    <hyperlink ref="C229" r:id="rId228" xr:uid="{9EEF9C50-D9B8-43F5-BB9E-A6431DD908C9}"/>
    <hyperlink ref="C230" r:id="rId229" xr:uid="{BA3207E7-6435-4D3E-B7C9-DDE6778F2682}"/>
    <hyperlink ref="C231" r:id="rId230" xr:uid="{3AB267F1-82BC-4FD5-887B-4E384AE9E4AF}"/>
    <hyperlink ref="C232" r:id="rId231" xr:uid="{AEBD8A2B-888C-4F22-826F-2F2C65F7544C}"/>
    <hyperlink ref="C233" r:id="rId232" xr:uid="{73F57D2A-94A3-4A52-9AAA-BA8CBCBB50EE}"/>
    <hyperlink ref="C234" r:id="rId233" xr:uid="{4621493F-DC44-475C-B0B8-0E2E22D22D3B}"/>
    <hyperlink ref="C235" r:id="rId234" xr:uid="{7989F68D-044E-424F-85E9-336A6EC1A2FA}"/>
    <hyperlink ref="C236" r:id="rId235" xr:uid="{8C2E474F-0EB7-4050-80E7-4A51CD6671DF}"/>
    <hyperlink ref="C237" r:id="rId236" xr:uid="{3EEAC585-FFAC-453F-AF34-53B86EB0A6CA}"/>
    <hyperlink ref="C238" r:id="rId237" xr:uid="{2A12492E-4BCB-4FE5-AE08-C5AAD1FE38C8}"/>
    <hyperlink ref="C239" r:id="rId238" xr:uid="{35FAB322-B4D1-47E3-B5F6-4669F805CFE0}"/>
    <hyperlink ref="C240" r:id="rId239" xr:uid="{437C8569-8C43-4A89-BF4F-44AC03501D16}"/>
    <hyperlink ref="C241" r:id="rId240" xr:uid="{40B2B269-FD91-47BE-A1A4-DF0105CC74D2}"/>
    <hyperlink ref="C242" r:id="rId241" xr:uid="{DE87A9FB-D7CC-484C-A821-4A2C1D1C212E}"/>
    <hyperlink ref="C243" r:id="rId242" xr:uid="{2901CAB1-E3AD-4294-A49B-1CDE0D76222E}"/>
    <hyperlink ref="C244" r:id="rId243" xr:uid="{BDFE2499-D85B-41D8-B3FB-09C6629B13AA}"/>
    <hyperlink ref="C245" r:id="rId244" xr:uid="{4FC58210-DFFB-4B6F-924C-176F536D5387}"/>
    <hyperlink ref="C246" r:id="rId245" xr:uid="{A53DE4FC-CEFE-4AF4-9864-34FA7517CCEE}"/>
    <hyperlink ref="C247" r:id="rId246" xr:uid="{595AE331-81B8-4D57-A1B8-051258934660}"/>
    <hyperlink ref="C248" r:id="rId247" xr:uid="{1A0BA79F-80C5-4646-9FA5-5C880D45EEE6}"/>
    <hyperlink ref="C249" r:id="rId248" xr:uid="{FBCC2BB0-AA2E-42D1-AAC8-7AA505301442}"/>
    <hyperlink ref="C250" r:id="rId249" xr:uid="{90B38C87-335D-468F-877F-73BCD8456906}"/>
    <hyperlink ref="C251" r:id="rId250" xr:uid="{D5481B71-BCF5-4048-80CA-5A0524E12E54}"/>
    <hyperlink ref="C252" r:id="rId251" xr:uid="{6D1A087A-CC6A-4AA7-A836-F3944C03D734}"/>
    <hyperlink ref="C253" r:id="rId252" xr:uid="{3F6BE186-3AF4-47D1-8FAB-AA57ED1A754F}"/>
    <hyperlink ref="C254" r:id="rId253" xr:uid="{8D43F76C-7BF0-434A-9334-557E6AFBC5B8}"/>
    <hyperlink ref="C255" r:id="rId254" xr:uid="{CF7295E3-2D86-47E0-8CA2-5D53B1E60E34}"/>
    <hyperlink ref="C256" r:id="rId255" xr:uid="{491852CB-4534-44D2-B6AB-321187A5E8CC}"/>
    <hyperlink ref="C257" r:id="rId256" xr:uid="{0683DFC1-7603-4B8D-A338-E22E0BA8BDFC}"/>
    <hyperlink ref="C258" r:id="rId257" xr:uid="{3AB76997-57DF-4A97-9CF9-064E73126C69}"/>
    <hyperlink ref="C259" r:id="rId258" xr:uid="{80A07912-06F7-42DF-8CD0-939800E89E69}"/>
    <hyperlink ref="C260" r:id="rId259" xr:uid="{60208CED-207E-47AB-A0BC-527C43346C54}"/>
    <hyperlink ref="C261" r:id="rId260" xr:uid="{15C0DA10-8125-4D7E-B0DB-EC016CE8BD94}"/>
    <hyperlink ref="C262" r:id="rId261" xr:uid="{D4A12B44-0D21-4AF0-8259-C1F1C1067319}"/>
    <hyperlink ref="C263" r:id="rId262" xr:uid="{13F14538-A05A-4E4F-B8DB-073CDAC03FEA}"/>
    <hyperlink ref="C264" r:id="rId263" xr:uid="{FF889FEA-F77D-40D6-B1B1-546FF289FFB1}"/>
    <hyperlink ref="C265" r:id="rId264" xr:uid="{CA8DCE28-1F58-451E-9EEF-0FA8107566A6}"/>
    <hyperlink ref="C266" r:id="rId265" xr:uid="{BE4250E5-38B5-4244-8876-61BC06F2937D}"/>
    <hyperlink ref="C267" r:id="rId266" xr:uid="{5BD81A4A-28A8-402A-8520-386E60080A03}"/>
    <hyperlink ref="C268" r:id="rId267" xr:uid="{EF7E0ABB-38B1-4753-8853-FE672D1E896F}"/>
    <hyperlink ref="C269" r:id="rId268" xr:uid="{CBA71AF6-E427-493B-9343-9E63A648F4BD}"/>
    <hyperlink ref="C270" r:id="rId269" xr:uid="{7AB92ADD-5D86-4751-83E0-37C68039ADB9}"/>
    <hyperlink ref="C271" r:id="rId270" xr:uid="{BD698084-D85B-4D07-9B07-36CDA22B52F8}"/>
    <hyperlink ref="C272" r:id="rId271" xr:uid="{8EF0689E-AC3A-4B92-A89B-3F5513F87545}"/>
    <hyperlink ref="C273" r:id="rId272" xr:uid="{753DEB53-3A23-4A7F-BA68-706521A935FB}"/>
    <hyperlink ref="C274" r:id="rId273" xr:uid="{796931C4-B76F-4988-90FF-1519DE487584}"/>
    <hyperlink ref="C275" r:id="rId274" xr:uid="{901C50C9-A0FB-49C3-BF58-0932357E8F4E}"/>
    <hyperlink ref="C276" r:id="rId275" xr:uid="{894CEA4A-1966-4210-831B-0C3B8B5ABA2C}"/>
    <hyperlink ref="C277" r:id="rId276" xr:uid="{8139AB1B-EDCC-472F-A01E-D697F23A5D0D}"/>
    <hyperlink ref="C278" r:id="rId277" xr:uid="{6727FCCC-3513-483D-9177-2821CF2650CF}"/>
    <hyperlink ref="C279" r:id="rId278" xr:uid="{B96C01A2-0EAF-4523-BF57-5C8127D96AEB}"/>
    <hyperlink ref="C280" r:id="rId279" xr:uid="{BAAF3F28-179B-4F43-A84C-827617B7EFF3}"/>
    <hyperlink ref="C281" r:id="rId280" xr:uid="{057BC072-5B50-4D6D-B5D9-E807E104F118}"/>
    <hyperlink ref="C282" r:id="rId281" xr:uid="{CF859AB3-8B51-4143-A56E-F81C92BB05A8}"/>
    <hyperlink ref="C283" r:id="rId282" xr:uid="{7B78CE81-C126-4FEC-8C3F-995642A079B6}"/>
    <hyperlink ref="C284" r:id="rId283" xr:uid="{28D259CF-7D3A-4A40-95A6-4F99D255EDE2}"/>
    <hyperlink ref="C285" r:id="rId284" xr:uid="{963A60E1-6C41-4269-A22F-92C985FFE95C}"/>
    <hyperlink ref="C286" r:id="rId285" xr:uid="{2DC3C899-E8F5-401A-8EF8-26B66434C484}"/>
    <hyperlink ref="C287" r:id="rId286" xr:uid="{BCDB090A-9C64-4597-AB3F-AF1F5B23CB5A}"/>
    <hyperlink ref="C288" r:id="rId287" xr:uid="{919BA4EB-2E0F-4585-98D4-6B259E5C074F}"/>
    <hyperlink ref="C289" r:id="rId288" xr:uid="{183AF708-EE75-4484-B7DF-2919586D124F}"/>
    <hyperlink ref="C290" r:id="rId289" xr:uid="{0B70E003-0D54-4828-9E11-A265DA226264}"/>
    <hyperlink ref="C291" r:id="rId290" xr:uid="{5BBEF8CE-DB96-4058-A971-BCB0B1166BDF}"/>
    <hyperlink ref="C292" r:id="rId291" xr:uid="{12424A2D-4051-433C-8FEF-1852077D2E5A}"/>
    <hyperlink ref="C293" r:id="rId292" xr:uid="{02FDA215-31D3-45F8-9A25-789F95883461}"/>
    <hyperlink ref="C294" r:id="rId293" xr:uid="{B3DD6627-8503-4A1A-A764-8F406045F7E0}"/>
    <hyperlink ref="C295" r:id="rId294" xr:uid="{2E6CFF76-6928-4630-AAF5-05CEE34B7EA8}"/>
    <hyperlink ref="C296" r:id="rId295" xr:uid="{BD0F38D2-63BB-4AFE-9BB4-31F08EF9F672}"/>
    <hyperlink ref="C297" r:id="rId296" xr:uid="{BC9E30B4-0007-4C2C-BF27-47FE6E25BD30}"/>
    <hyperlink ref="C298" r:id="rId297" xr:uid="{BEF6894D-0EAF-467F-A2DE-672AD65E65B8}"/>
    <hyperlink ref="C299" r:id="rId298" xr:uid="{F65845E9-B74F-4CF4-9EA8-B325C9A85CED}"/>
    <hyperlink ref="C300" r:id="rId299" xr:uid="{9C8DA22C-ACCE-4432-A56F-51F2FBDF61B4}"/>
    <hyperlink ref="C301" r:id="rId300" xr:uid="{D821E081-A4BC-49D5-815F-5A3554613202}"/>
    <hyperlink ref="C302" r:id="rId301" xr:uid="{AB108AF1-D2F5-4C53-84A4-0EB9DBC27A15}"/>
    <hyperlink ref="C303" r:id="rId302" xr:uid="{FA58E53C-6271-405F-9B2C-514D7C4DF8F3}"/>
    <hyperlink ref="C304" r:id="rId303" xr:uid="{9F7793DC-397A-4155-837E-4E24E6C90127}"/>
    <hyperlink ref="C305" r:id="rId304" xr:uid="{BFCA9E81-32A0-4F62-9479-68B3BD8BE793}"/>
    <hyperlink ref="C306" r:id="rId305" xr:uid="{1FB07423-1130-4708-8E8E-43D8F6C8848A}"/>
    <hyperlink ref="C307" r:id="rId306" xr:uid="{E07A6BF5-E270-40DD-B1D5-71753175EE83}"/>
    <hyperlink ref="C308" r:id="rId307" xr:uid="{1C42C7BD-AA84-47FD-9D74-5E7858C99753}"/>
    <hyperlink ref="C309" r:id="rId308" xr:uid="{C6494684-D8B1-452F-9CD8-A8FA9D8FC79B}"/>
    <hyperlink ref="C310" r:id="rId309" xr:uid="{93C4F3D5-2D4D-4DD3-84F0-64CD968E3762}"/>
    <hyperlink ref="C311" r:id="rId310" xr:uid="{F501057A-2F87-45F1-8C38-B84B2766CAF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38E5A-E057-48CF-A68A-8AA8A7002330}">
  <dimension ref="A1:AY309"/>
  <sheetViews>
    <sheetView topLeftCell="G1" zoomScale="113" workbookViewId="0">
      <selection activeCell="AY1" sqref="AY1"/>
    </sheetView>
  </sheetViews>
  <sheetFormatPr defaultRowHeight="14.5" x14ac:dyDescent="0.35"/>
  <cols>
    <col min="1" max="1" width="13.7265625" hidden="1" customWidth="1"/>
    <col min="2" max="2" width="15.6328125" hidden="1" customWidth="1"/>
    <col min="3" max="3" width="10.54296875" hidden="1" customWidth="1"/>
    <col min="4" max="4" width="16.54296875" hidden="1" customWidth="1"/>
    <col min="5" max="5" width="6.1796875" hidden="1" customWidth="1"/>
    <col min="6" max="6" width="16.453125" hidden="1" customWidth="1"/>
    <col min="7" max="7" width="17.26953125" bestFit="1" customWidth="1"/>
    <col min="8" max="8" width="8.08984375" hidden="1" customWidth="1"/>
    <col min="9" max="9" width="6" hidden="1" customWidth="1"/>
    <col min="10" max="10" width="11.90625" bestFit="1" customWidth="1"/>
    <col min="11" max="11" width="11.6328125" bestFit="1" customWidth="1"/>
    <col min="12" max="12" width="13.1796875" bestFit="1" customWidth="1"/>
    <col min="13" max="13" width="12.6328125" hidden="1" customWidth="1"/>
    <col min="14" max="14" width="17.90625" hidden="1" customWidth="1"/>
    <col min="15" max="15" width="17.81640625" hidden="1" customWidth="1"/>
    <col min="16" max="16" width="15.453125" hidden="1" customWidth="1"/>
    <col min="17" max="17" width="13.54296875" hidden="1" customWidth="1"/>
    <col min="18" max="18" width="10.1796875" hidden="1" customWidth="1"/>
    <col min="19" max="19" width="14.90625" hidden="1" customWidth="1"/>
    <col min="20" max="20" width="11" hidden="1" customWidth="1"/>
    <col min="21" max="21" width="7.54296875" hidden="1" customWidth="1"/>
    <col min="22" max="22" width="6.26953125" bestFit="1" customWidth="1"/>
    <col min="23" max="23" width="13.08984375" bestFit="1" customWidth="1"/>
    <col min="24" max="24" width="11.08984375" hidden="1" customWidth="1"/>
    <col min="25" max="25" width="14.36328125" bestFit="1" customWidth="1"/>
    <col min="26" max="28" width="11.90625" hidden="1" customWidth="1"/>
    <col min="29" max="29" width="13.54296875" hidden="1" customWidth="1"/>
    <col min="30" max="30" width="15.453125" hidden="1" customWidth="1"/>
    <col min="31" max="31" width="11.90625" hidden="1" customWidth="1"/>
    <col min="32" max="32" width="9.81640625" hidden="1" customWidth="1"/>
    <col min="33" max="33" width="12.453125" hidden="1" customWidth="1"/>
    <col min="34" max="34" width="21" hidden="1" customWidth="1"/>
    <col min="35" max="35" width="14" hidden="1" customWidth="1"/>
    <col min="36" max="36" width="16.54296875" bestFit="1" customWidth="1"/>
    <col min="37" max="37" width="15.7265625" bestFit="1" customWidth="1"/>
    <col min="38" max="38" width="17.90625" hidden="1" customWidth="1"/>
    <col min="39" max="39" width="9.26953125" hidden="1" customWidth="1"/>
    <col min="40" max="40" width="16.453125" hidden="1" customWidth="1"/>
    <col min="41" max="41" width="21.90625" hidden="1" customWidth="1"/>
    <col min="42" max="42" width="25.36328125" hidden="1" customWidth="1"/>
    <col min="43" max="43" width="9.26953125" hidden="1" customWidth="1"/>
    <col min="44" max="44" width="11.08984375" hidden="1" customWidth="1"/>
    <col min="45" max="45" width="12" hidden="1" customWidth="1"/>
    <col min="46" max="46" width="14.90625" hidden="1" customWidth="1"/>
    <col min="47" max="47" width="57.54296875" hidden="1" customWidth="1"/>
    <col min="48" max="48" width="24.54296875" hidden="1" customWidth="1"/>
    <col min="49" max="49" width="16.453125" hidden="1" customWidth="1"/>
  </cols>
  <sheetData>
    <row r="1" spans="1:5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23</v>
      </c>
      <c r="AS1" s="2" t="s">
        <v>43</v>
      </c>
      <c r="AT1" s="2" t="s">
        <v>44</v>
      </c>
      <c r="AU1" s="2" t="s">
        <v>45</v>
      </c>
      <c r="AV1" s="2" t="s">
        <v>46</v>
      </c>
      <c r="AW1" s="3" t="s">
        <v>47</v>
      </c>
      <c r="AX1" s="9" t="s">
        <v>1109</v>
      </c>
      <c r="AY1" s="20" t="s">
        <v>2161</v>
      </c>
    </row>
    <row r="2" spans="1:51" x14ac:dyDescent="0.35">
      <c r="A2" s="4" t="s">
        <v>48</v>
      </c>
      <c r="B2" s="5" t="s">
        <v>48</v>
      </c>
      <c r="C2" s="5" t="s">
        <v>49</v>
      </c>
      <c r="D2" s="5" t="s">
        <v>50</v>
      </c>
      <c r="E2" s="5" t="s">
        <v>51</v>
      </c>
      <c r="F2" s="5" t="s">
        <v>52</v>
      </c>
      <c r="G2" s="5" t="s">
        <v>53</v>
      </c>
      <c r="H2" s="5" t="s">
        <v>54</v>
      </c>
      <c r="I2" s="5" t="s">
        <v>55</v>
      </c>
      <c r="J2" s="5" t="s">
        <v>56</v>
      </c>
      <c r="K2" s="5" t="s">
        <v>57</v>
      </c>
      <c r="L2" s="5" t="s">
        <v>58</v>
      </c>
      <c r="M2" s="5" t="s">
        <v>59</v>
      </c>
      <c r="N2" s="5" t="s">
        <v>60</v>
      </c>
      <c r="O2" s="5" t="s">
        <v>60</v>
      </c>
      <c r="P2" s="5" t="s">
        <v>61</v>
      </c>
      <c r="Q2" s="5" t="s">
        <v>62</v>
      </c>
      <c r="R2" s="5" t="s">
        <v>63</v>
      </c>
      <c r="S2" s="5" t="s">
        <v>64</v>
      </c>
      <c r="T2" s="5" t="s">
        <v>65</v>
      </c>
      <c r="U2" s="5" t="s">
        <v>66</v>
      </c>
      <c r="V2" s="5" t="s">
        <v>67</v>
      </c>
      <c r="W2" s="5" t="s">
        <v>68</v>
      </c>
      <c r="X2" s="5" t="s">
        <v>69</v>
      </c>
      <c r="Y2" s="5" t="s">
        <v>70</v>
      </c>
      <c r="Z2" s="5" t="s">
        <v>71</v>
      </c>
      <c r="AA2" s="5" t="s">
        <v>72</v>
      </c>
      <c r="AB2" s="5" t="s">
        <v>73</v>
      </c>
      <c r="AC2" s="5" t="s">
        <v>74</v>
      </c>
      <c r="AD2" s="5" t="s">
        <v>75</v>
      </c>
      <c r="AE2" s="5" t="s">
        <v>76</v>
      </c>
      <c r="AF2" s="6">
        <v>35203.86</v>
      </c>
      <c r="AG2" s="7">
        <v>1</v>
      </c>
      <c r="AH2" s="6">
        <v>35203.86</v>
      </c>
      <c r="AI2" s="5" t="s">
        <v>77</v>
      </c>
      <c r="AJ2" s="10">
        <v>45994</v>
      </c>
      <c r="AK2" s="5" t="s">
        <v>78</v>
      </c>
      <c r="AL2" s="5" t="s">
        <v>79</v>
      </c>
      <c r="AM2" s="5">
        <v>1619409</v>
      </c>
      <c r="AN2" s="5" t="s">
        <v>80</v>
      </c>
      <c r="AO2" s="5">
        <v>1094010</v>
      </c>
      <c r="AP2" s="5" t="s">
        <v>81</v>
      </c>
      <c r="AQ2" s="5" t="s">
        <v>64</v>
      </c>
      <c r="AR2" s="5" t="s">
        <v>69</v>
      </c>
      <c r="AS2" s="5"/>
      <c r="AT2" s="5"/>
      <c r="AU2" s="5"/>
      <c r="AV2" s="5"/>
      <c r="AW2" s="8"/>
      <c r="AX2" t="s">
        <v>1135</v>
      </c>
      <c r="AY2" t="s">
        <v>2152</v>
      </c>
    </row>
    <row r="3" spans="1:51" x14ac:dyDescent="0.35">
      <c r="A3" s="4" t="s">
        <v>48</v>
      </c>
      <c r="B3" s="5" t="s">
        <v>48</v>
      </c>
      <c r="C3" s="5" t="s">
        <v>49</v>
      </c>
      <c r="D3" s="5" t="s">
        <v>50</v>
      </c>
      <c r="E3" s="5" t="s">
        <v>51</v>
      </c>
      <c r="F3" s="5" t="s">
        <v>52</v>
      </c>
      <c r="G3" s="5" t="s">
        <v>53</v>
      </c>
      <c r="H3" s="5" t="s">
        <v>54</v>
      </c>
      <c r="I3" s="5" t="s">
        <v>82</v>
      </c>
      <c r="J3" s="5" t="s">
        <v>56</v>
      </c>
      <c r="K3" s="5" t="s">
        <v>57</v>
      </c>
      <c r="L3" s="5" t="s">
        <v>58</v>
      </c>
      <c r="M3" s="5" t="s">
        <v>59</v>
      </c>
      <c r="N3" s="5" t="s">
        <v>60</v>
      </c>
      <c r="O3" s="5" t="s">
        <v>60</v>
      </c>
      <c r="P3" s="5" t="s">
        <v>61</v>
      </c>
      <c r="Q3" s="5" t="s">
        <v>62</v>
      </c>
      <c r="R3" s="5" t="s">
        <v>63</v>
      </c>
      <c r="S3" s="5" t="s">
        <v>64</v>
      </c>
      <c r="T3" s="5" t="s">
        <v>65</v>
      </c>
      <c r="U3" s="5" t="s">
        <v>66</v>
      </c>
      <c r="V3" s="5" t="s">
        <v>83</v>
      </c>
      <c r="W3" s="5" t="s">
        <v>84</v>
      </c>
      <c r="X3" s="5" t="s">
        <v>85</v>
      </c>
      <c r="Y3" s="5" t="s">
        <v>86</v>
      </c>
      <c r="Z3" s="5" t="s">
        <v>71</v>
      </c>
      <c r="AA3" s="5" t="s">
        <v>87</v>
      </c>
      <c r="AB3" s="5" t="s">
        <v>88</v>
      </c>
      <c r="AC3" s="5" t="s">
        <v>89</v>
      </c>
      <c r="AD3" s="5" t="s">
        <v>75</v>
      </c>
      <c r="AE3" s="5" t="s">
        <v>90</v>
      </c>
      <c r="AF3" s="6">
        <v>4326</v>
      </c>
      <c r="AG3" s="7">
        <v>1</v>
      </c>
      <c r="AH3" s="6">
        <v>4326</v>
      </c>
      <c r="AI3" s="5" t="s">
        <v>91</v>
      </c>
      <c r="AJ3" s="10">
        <v>45994</v>
      </c>
      <c r="AK3" s="5" t="s">
        <v>92</v>
      </c>
      <c r="AL3" s="5" t="s">
        <v>79</v>
      </c>
      <c r="AM3" s="5">
        <v>1619409</v>
      </c>
      <c r="AN3" s="5" t="s">
        <v>80</v>
      </c>
      <c r="AO3" s="5">
        <v>1094010</v>
      </c>
      <c r="AP3" s="5" t="s">
        <v>81</v>
      </c>
      <c r="AQ3" s="5" t="s">
        <v>64</v>
      </c>
      <c r="AR3" s="5" t="s">
        <v>85</v>
      </c>
      <c r="AS3" s="5"/>
      <c r="AT3" s="5"/>
      <c r="AU3" s="5"/>
      <c r="AV3" s="5"/>
      <c r="AW3" s="8"/>
      <c r="AX3" t="s">
        <v>1135</v>
      </c>
      <c r="AY3" t="s">
        <v>2152</v>
      </c>
    </row>
    <row r="4" spans="1:51" x14ac:dyDescent="0.35">
      <c r="A4" s="4" t="s">
        <v>48</v>
      </c>
      <c r="B4" s="5" t="s">
        <v>48</v>
      </c>
      <c r="C4" s="5" t="s">
        <v>49</v>
      </c>
      <c r="D4" s="5" t="s">
        <v>50</v>
      </c>
      <c r="E4" s="5" t="s">
        <v>51</v>
      </c>
      <c r="F4" s="5" t="s">
        <v>52</v>
      </c>
      <c r="G4" s="5" t="s">
        <v>53</v>
      </c>
      <c r="H4" s="5" t="s">
        <v>54</v>
      </c>
      <c r="I4" s="5" t="s">
        <v>82</v>
      </c>
      <c r="J4" s="5" t="s">
        <v>56</v>
      </c>
      <c r="K4" s="5" t="s">
        <v>57</v>
      </c>
      <c r="L4" s="5" t="s">
        <v>58</v>
      </c>
      <c r="M4" s="5" t="s">
        <v>59</v>
      </c>
      <c r="N4" s="5" t="s">
        <v>60</v>
      </c>
      <c r="O4" s="5" t="s">
        <v>60</v>
      </c>
      <c r="P4" s="5" t="s">
        <v>61</v>
      </c>
      <c r="Q4" s="5" t="s">
        <v>62</v>
      </c>
      <c r="R4" s="5" t="s">
        <v>63</v>
      </c>
      <c r="S4" s="5" t="s">
        <v>64</v>
      </c>
      <c r="T4" s="5" t="s">
        <v>65</v>
      </c>
      <c r="U4" s="5" t="s">
        <v>66</v>
      </c>
      <c r="V4" s="5" t="s">
        <v>93</v>
      </c>
      <c r="W4" s="5" t="s">
        <v>94</v>
      </c>
      <c r="X4" s="5" t="s">
        <v>95</v>
      </c>
      <c r="Y4" s="5" t="s">
        <v>96</v>
      </c>
      <c r="Z4" s="5" t="s">
        <v>71</v>
      </c>
      <c r="AA4" s="5" t="s">
        <v>87</v>
      </c>
      <c r="AB4" s="5" t="s">
        <v>88</v>
      </c>
      <c r="AC4" s="5" t="s">
        <v>89</v>
      </c>
      <c r="AD4" s="5" t="s">
        <v>75</v>
      </c>
      <c r="AE4" s="5" t="s">
        <v>97</v>
      </c>
      <c r="AF4" s="6">
        <v>4326</v>
      </c>
      <c r="AG4" s="7">
        <v>1</v>
      </c>
      <c r="AH4" s="6">
        <v>4326</v>
      </c>
      <c r="AI4" s="5" t="s">
        <v>98</v>
      </c>
      <c r="AJ4" s="10">
        <v>45994</v>
      </c>
      <c r="AK4" s="5" t="s">
        <v>92</v>
      </c>
      <c r="AL4" s="5" t="s">
        <v>79</v>
      </c>
      <c r="AM4" s="5">
        <v>1619409</v>
      </c>
      <c r="AN4" s="5" t="s">
        <v>80</v>
      </c>
      <c r="AO4" s="5">
        <v>1094010</v>
      </c>
      <c r="AP4" s="5" t="s">
        <v>81</v>
      </c>
      <c r="AQ4" s="5" t="s">
        <v>64</v>
      </c>
      <c r="AR4" s="5" t="s">
        <v>95</v>
      </c>
      <c r="AS4" s="5"/>
      <c r="AT4" s="5"/>
      <c r="AU4" s="5"/>
      <c r="AV4" s="5"/>
      <c r="AW4" s="8"/>
      <c r="AX4" t="s">
        <v>1135</v>
      </c>
      <c r="AY4" t="s">
        <v>2152</v>
      </c>
    </row>
    <row r="5" spans="1:51" x14ac:dyDescent="0.35">
      <c r="A5" s="4" t="s">
        <v>48</v>
      </c>
      <c r="B5" s="5" t="s">
        <v>48</v>
      </c>
      <c r="C5" s="5" t="s">
        <v>99</v>
      </c>
      <c r="D5" s="5" t="s">
        <v>50</v>
      </c>
      <c r="E5" s="5" t="s">
        <v>51</v>
      </c>
      <c r="F5" s="5" t="s">
        <v>52</v>
      </c>
      <c r="G5" s="5" t="s">
        <v>53</v>
      </c>
      <c r="H5" s="5" t="s">
        <v>54</v>
      </c>
      <c r="I5" s="5" t="s">
        <v>100</v>
      </c>
      <c r="J5" s="5" t="s">
        <v>56</v>
      </c>
      <c r="K5" s="5" t="s">
        <v>57</v>
      </c>
      <c r="L5" s="5" t="s">
        <v>58</v>
      </c>
      <c r="M5" s="5" t="s">
        <v>59</v>
      </c>
      <c r="N5" s="5" t="s">
        <v>60</v>
      </c>
      <c r="O5" s="5" t="s">
        <v>60</v>
      </c>
      <c r="P5" s="5" t="s">
        <v>61</v>
      </c>
      <c r="Q5" s="5" t="s">
        <v>62</v>
      </c>
      <c r="R5" s="5" t="s">
        <v>63</v>
      </c>
      <c r="S5" s="5" t="s">
        <v>64</v>
      </c>
      <c r="T5" s="5" t="s">
        <v>65</v>
      </c>
      <c r="U5" s="5" t="s">
        <v>66</v>
      </c>
      <c r="V5" s="5" t="s">
        <v>101</v>
      </c>
      <c r="W5" s="5" t="s">
        <v>102</v>
      </c>
      <c r="X5" s="5" t="s">
        <v>69</v>
      </c>
      <c r="Y5" s="5" t="s">
        <v>103</v>
      </c>
      <c r="Z5" s="5" t="s">
        <v>71</v>
      </c>
      <c r="AA5" s="5" t="s">
        <v>87</v>
      </c>
      <c r="AB5" s="5" t="s">
        <v>104</v>
      </c>
      <c r="AC5" s="5" t="s">
        <v>105</v>
      </c>
      <c r="AD5" s="5" t="s">
        <v>75</v>
      </c>
      <c r="AE5" s="5" t="s">
        <v>106</v>
      </c>
      <c r="AF5" s="6">
        <v>2835</v>
      </c>
      <c r="AG5" s="7">
        <v>1</v>
      </c>
      <c r="AH5" s="6">
        <v>2835</v>
      </c>
      <c r="AI5" s="5" t="s">
        <v>107</v>
      </c>
      <c r="AJ5" s="10">
        <v>45995</v>
      </c>
      <c r="AK5" s="5" t="s">
        <v>108</v>
      </c>
      <c r="AL5" s="5" t="s">
        <v>79</v>
      </c>
      <c r="AM5" s="5">
        <v>1619409</v>
      </c>
      <c r="AN5" s="5" t="s">
        <v>80</v>
      </c>
      <c r="AO5" s="5">
        <v>1094010</v>
      </c>
      <c r="AP5" s="5" t="s">
        <v>81</v>
      </c>
      <c r="AQ5" s="5" t="s">
        <v>64</v>
      </c>
      <c r="AR5" s="5" t="s">
        <v>69</v>
      </c>
      <c r="AS5" s="5"/>
      <c r="AT5" s="5"/>
      <c r="AU5" s="5"/>
      <c r="AV5" s="5"/>
      <c r="AW5" s="8"/>
      <c r="AX5" t="s">
        <v>1135</v>
      </c>
      <c r="AY5" t="s">
        <v>2152</v>
      </c>
    </row>
    <row r="6" spans="1:51" x14ac:dyDescent="0.35">
      <c r="A6" s="4" t="s">
        <v>48</v>
      </c>
      <c r="B6" s="5" t="s">
        <v>48</v>
      </c>
      <c r="C6" s="5" t="s">
        <v>99</v>
      </c>
      <c r="D6" s="5" t="s">
        <v>50</v>
      </c>
      <c r="E6" s="5" t="s">
        <v>51</v>
      </c>
      <c r="F6" s="5" t="s">
        <v>52</v>
      </c>
      <c r="G6" s="5" t="s">
        <v>53</v>
      </c>
      <c r="H6" s="5" t="s">
        <v>54</v>
      </c>
      <c r="I6" s="5" t="s">
        <v>100</v>
      </c>
      <c r="J6" s="5" t="s">
        <v>56</v>
      </c>
      <c r="K6" s="5" t="s">
        <v>57</v>
      </c>
      <c r="L6" s="5" t="s">
        <v>58</v>
      </c>
      <c r="M6" s="5" t="s">
        <v>59</v>
      </c>
      <c r="N6" s="5" t="s">
        <v>60</v>
      </c>
      <c r="O6" s="5" t="s">
        <v>60</v>
      </c>
      <c r="P6" s="5" t="s">
        <v>61</v>
      </c>
      <c r="Q6" s="5" t="s">
        <v>62</v>
      </c>
      <c r="R6" s="5" t="s">
        <v>63</v>
      </c>
      <c r="S6" s="5" t="s">
        <v>64</v>
      </c>
      <c r="T6" s="5" t="s">
        <v>65</v>
      </c>
      <c r="U6" s="5" t="s">
        <v>66</v>
      </c>
      <c r="V6" s="5" t="s">
        <v>83</v>
      </c>
      <c r="W6" s="5" t="s">
        <v>109</v>
      </c>
      <c r="X6" s="5" t="s">
        <v>110</v>
      </c>
      <c r="Y6" s="5" t="s">
        <v>86</v>
      </c>
      <c r="Z6" s="5" t="s">
        <v>71</v>
      </c>
      <c r="AA6" s="5" t="s">
        <v>87</v>
      </c>
      <c r="AB6" s="5" t="s">
        <v>88</v>
      </c>
      <c r="AC6" s="5" t="s">
        <v>89</v>
      </c>
      <c r="AD6" s="5" t="s">
        <v>75</v>
      </c>
      <c r="AE6" s="5" t="s">
        <v>90</v>
      </c>
      <c r="AF6" s="6">
        <v>4326</v>
      </c>
      <c r="AG6" s="7">
        <v>1</v>
      </c>
      <c r="AH6" s="6">
        <v>4326</v>
      </c>
      <c r="AI6" s="5" t="s">
        <v>111</v>
      </c>
      <c r="AJ6" s="10">
        <v>45995</v>
      </c>
      <c r="AK6" s="5" t="s">
        <v>108</v>
      </c>
      <c r="AL6" s="5" t="s">
        <v>79</v>
      </c>
      <c r="AM6" s="5">
        <v>1619409</v>
      </c>
      <c r="AN6" s="5" t="s">
        <v>80</v>
      </c>
      <c r="AO6" s="5">
        <v>1094010</v>
      </c>
      <c r="AP6" s="5" t="s">
        <v>81</v>
      </c>
      <c r="AQ6" s="5" t="s">
        <v>64</v>
      </c>
      <c r="AR6" s="5" t="s">
        <v>110</v>
      </c>
      <c r="AS6" s="5"/>
      <c r="AT6" s="5"/>
      <c r="AU6" s="5"/>
      <c r="AV6" s="5"/>
      <c r="AW6" s="8"/>
      <c r="AX6" t="s">
        <v>1135</v>
      </c>
      <c r="AY6" t="s">
        <v>2152</v>
      </c>
    </row>
    <row r="7" spans="1:51" x14ac:dyDescent="0.35">
      <c r="A7" s="4" t="s">
        <v>48</v>
      </c>
      <c r="B7" s="5" t="s">
        <v>48</v>
      </c>
      <c r="C7" s="5" t="s">
        <v>99</v>
      </c>
      <c r="D7" s="5" t="s">
        <v>50</v>
      </c>
      <c r="E7" s="5" t="s">
        <v>51</v>
      </c>
      <c r="F7" s="5" t="s">
        <v>52</v>
      </c>
      <c r="G7" s="5" t="s">
        <v>53</v>
      </c>
      <c r="H7" s="5" t="s">
        <v>54</v>
      </c>
      <c r="I7" s="5" t="s">
        <v>112</v>
      </c>
      <c r="J7" s="5" t="s">
        <v>56</v>
      </c>
      <c r="K7" s="5" t="s">
        <v>57</v>
      </c>
      <c r="L7" s="5" t="s">
        <v>58</v>
      </c>
      <c r="M7" s="5" t="s">
        <v>59</v>
      </c>
      <c r="N7" s="5" t="s">
        <v>60</v>
      </c>
      <c r="O7" s="5" t="s">
        <v>60</v>
      </c>
      <c r="P7" s="5" t="s">
        <v>61</v>
      </c>
      <c r="Q7" s="5" t="s">
        <v>62</v>
      </c>
      <c r="R7" s="5" t="s">
        <v>63</v>
      </c>
      <c r="S7" s="5" t="s">
        <v>64</v>
      </c>
      <c r="T7" s="5" t="s">
        <v>65</v>
      </c>
      <c r="U7" s="5" t="s">
        <v>66</v>
      </c>
      <c r="V7" s="5" t="s">
        <v>113</v>
      </c>
      <c r="W7" s="5" t="s">
        <v>114</v>
      </c>
      <c r="X7" s="5" t="s">
        <v>115</v>
      </c>
      <c r="Y7" s="5" t="s">
        <v>116</v>
      </c>
      <c r="Z7" s="5" t="s">
        <v>71</v>
      </c>
      <c r="AA7" s="5" t="s">
        <v>87</v>
      </c>
      <c r="AB7" s="5" t="s">
        <v>88</v>
      </c>
      <c r="AC7" s="5" t="s">
        <v>89</v>
      </c>
      <c r="AD7" s="5" t="s">
        <v>75</v>
      </c>
      <c r="AE7" s="5" t="s">
        <v>117</v>
      </c>
      <c r="AF7" s="6">
        <v>4326</v>
      </c>
      <c r="AG7" s="7">
        <v>1</v>
      </c>
      <c r="AH7" s="6">
        <v>4326</v>
      </c>
      <c r="AI7" s="5" t="s">
        <v>118</v>
      </c>
      <c r="AJ7" s="10">
        <v>45995</v>
      </c>
      <c r="AK7" s="5" t="s">
        <v>119</v>
      </c>
      <c r="AL7" s="5" t="s">
        <v>79</v>
      </c>
      <c r="AM7" s="5">
        <v>1619409</v>
      </c>
      <c r="AN7" s="5" t="s">
        <v>80</v>
      </c>
      <c r="AO7" s="5">
        <v>1094010</v>
      </c>
      <c r="AP7" s="5" t="s">
        <v>81</v>
      </c>
      <c r="AQ7" s="5" t="s">
        <v>64</v>
      </c>
      <c r="AR7" s="5" t="s">
        <v>115</v>
      </c>
      <c r="AS7" s="5"/>
      <c r="AT7" s="5"/>
      <c r="AU7" s="5"/>
      <c r="AV7" s="5"/>
      <c r="AW7" s="8"/>
      <c r="AX7" t="s">
        <v>1135</v>
      </c>
      <c r="AY7" t="s">
        <v>2152</v>
      </c>
    </row>
    <row r="8" spans="1:51" x14ac:dyDescent="0.35">
      <c r="A8" s="4" t="s">
        <v>48</v>
      </c>
      <c r="B8" s="5" t="s">
        <v>48</v>
      </c>
      <c r="C8" s="5" t="s">
        <v>99</v>
      </c>
      <c r="D8" s="5" t="s">
        <v>50</v>
      </c>
      <c r="E8" s="5" t="s">
        <v>51</v>
      </c>
      <c r="F8" s="5" t="s">
        <v>52</v>
      </c>
      <c r="G8" s="5" t="s">
        <v>53</v>
      </c>
      <c r="H8" s="5" t="s">
        <v>54</v>
      </c>
      <c r="I8" s="5" t="s">
        <v>120</v>
      </c>
      <c r="J8" s="5" t="s">
        <v>56</v>
      </c>
      <c r="K8" s="5" t="s">
        <v>57</v>
      </c>
      <c r="L8" s="5" t="s">
        <v>58</v>
      </c>
      <c r="M8" s="5" t="s">
        <v>59</v>
      </c>
      <c r="N8" s="5" t="s">
        <v>60</v>
      </c>
      <c r="O8" s="5" t="s">
        <v>60</v>
      </c>
      <c r="P8" s="5" t="s">
        <v>61</v>
      </c>
      <c r="Q8" s="5" t="s">
        <v>62</v>
      </c>
      <c r="R8" s="5" t="s">
        <v>63</v>
      </c>
      <c r="S8" s="5" t="s">
        <v>64</v>
      </c>
      <c r="T8" s="5" t="s">
        <v>65</v>
      </c>
      <c r="U8" s="5" t="s">
        <v>66</v>
      </c>
      <c r="V8" s="5" t="s">
        <v>121</v>
      </c>
      <c r="W8" s="5" t="s">
        <v>122</v>
      </c>
      <c r="X8" s="5" t="s">
        <v>95</v>
      </c>
      <c r="Y8" s="5" t="s">
        <v>123</v>
      </c>
      <c r="Z8" s="5" t="s">
        <v>71</v>
      </c>
      <c r="AA8" s="5" t="s">
        <v>87</v>
      </c>
      <c r="AB8" s="5" t="s">
        <v>88</v>
      </c>
      <c r="AC8" s="5" t="s">
        <v>89</v>
      </c>
      <c r="AD8" s="5" t="s">
        <v>75</v>
      </c>
      <c r="AE8" s="5" t="s">
        <v>124</v>
      </c>
      <c r="AF8" s="6">
        <v>4326</v>
      </c>
      <c r="AG8" s="7">
        <v>1</v>
      </c>
      <c r="AH8" s="6">
        <v>4326</v>
      </c>
      <c r="AI8" s="5" t="s">
        <v>118</v>
      </c>
      <c r="AJ8" s="10">
        <v>45995</v>
      </c>
      <c r="AK8" s="5" t="s">
        <v>125</v>
      </c>
      <c r="AL8" s="5" t="s">
        <v>79</v>
      </c>
      <c r="AM8" s="5">
        <v>1619409</v>
      </c>
      <c r="AN8" s="5" t="s">
        <v>80</v>
      </c>
      <c r="AO8" s="5">
        <v>1094010</v>
      </c>
      <c r="AP8" s="5" t="s">
        <v>81</v>
      </c>
      <c r="AQ8" s="5" t="s">
        <v>64</v>
      </c>
      <c r="AR8" s="5" t="s">
        <v>95</v>
      </c>
      <c r="AS8" s="5"/>
      <c r="AT8" s="5"/>
      <c r="AU8" s="5"/>
      <c r="AV8" s="5"/>
      <c r="AW8" s="8"/>
      <c r="AX8" t="s">
        <v>1135</v>
      </c>
      <c r="AY8" t="s">
        <v>2152</v>
      </c>
    </row>
    <row r="9" spans="1:51" x14ac:dyDescent="0.35">
      <c r="A9" s="4" t="s">
        <v>48</v>
      </c>
      <c r="B9" s="5" t="s">
        <v>48</v>
      </c>
      <c r="C9" s="5" t="s">
        <v>99</v>
      </c>
      <c r="D9" s="5" t="s">
        <v>50</v>
      </c>
      <c r="E9" s="5" t="s">
        <v>51</v>
      </c>
      <c r="F9" s="5" t="s">
        <v>52</v>
      </c>
      <c r="G9" s="5" t="s">
        <v>53</v>
      </c>
      <c r="H9" s="5" t="s">
        <v>54</v>
      </c>
      <c r="I9" s="5" t="s">
        <v>126</v>
      </c>
      <c r="J9" s="5" t="s">
        <v>56</v>
      </c>
      <c r="K9" s="5" t="s">
        <v>57</v>
      </c>
      <c r="L9" s="5" t="s">
        <v>58</v>
      </c>
      <c r="M9" s="5" t="s">
        <v>59</v>
      </c>
      <c r="N9" s="5" t="s">
        <v>60</v>
      </c>
      <c r="O9" s="5" t="s">
        <v>60</v>
      </c>
      <c r="P9" s="5" t="s">
        <v>61</v>
      </c>
      <c r="Q9" s="5" t="s">
        <v>62</v>
      </c>
      <c r="R9" s="5" t="s">
        <v>63</v>
      </c>
      <c r="S9" s="5" t="s">
        <v>64</v>
      </c>
      <c r="T9" s="5" t="s">
        <v>65</v>
      </c>
      <c r="U9" s="5" t="s">
        <v>66</v>
      </c>
      <c r="V9" s="5" t="s">
        <v>127</v>
      </c>
      <c r="W9" s="5" t="s">
        <v>128</v>
      </c>
      <c r="X9" s="5" t="s">
        <v>129</v>
      </c>
      <c r="Y9" s="5" t="s">
        <v>130</v>
      </c>
      <c r="Z9" s="5" t="s">
        <v>71</v>
      </c>
      <c r="AA9" s="5" t="s">
        <v>72</v>
      </c>
      <c r="AB9" s="5" t="s">
        <v>131</v>
      </c>
      <c r="AC9" s="5" t="s">
        <v>132</v>
      </c>
      <c r="AD9" s="5" t="s">
        <v>75</v>
      </c>
      <c r="AE9" s="5" t="s">
        <v>133</v>
      </c>
      <c r="AF9" s="6">
        <v>16500</v>
      </c>
      <c r="AG9" s="7">
        <v>1</v>
      </c>
      <c r="AH9" s="6">
        <v>16500</v>
      </c>
      <c r="AI9" s="5" t="s">
        <v>134</v>
      </c>
      <c r="AJ9" s="10">
        <v>45995</v>
      </c>
      <c r="AK9" s="5" t="s">
        <v>135</v>
      </c>
      <c r="AL9" s="5" t="s">
        <v>79</v>
      </c>
      <c r="AM9" s="5">
        <v>1619409</v>
      </c>
      <c r="AN9" s="5" t="s">
        <v>80</v>
      </c>
      <c r="AO9" s="5">
        <v>1094010</v>
      </c>
      <c r="AP9" s="5" t="s">
        <v>81</v>
      </c>
      <c r="AQ9" s="5" t="s">
        <v>64</v>
      </c>
      <c r="AR9" s="5" t="s">
        <v>129</v>
      </c>
      <c r="AS9" s="5"/>
      <c r="AT9" s="5"/>
      <c r="AU9" s="5"/>
      <c r="AV9" s="5"/>
      <c r="AW9" s="8"/>
      <c r="AX9" t="s">
        <v>1135</v>
      </c>
      <c r="AY9" t="s">
        <v>2152</v>
      </c>
    </row>
    <row r="10" spans="1:51" x14ac:dyDescent="0.35">
      <c r="A10" s="4" t="s">
        <v>48</v>
      </c>
      <c r="B10" s="5" t="s">
        <v>48</v>
      </c>
      <c r="C10" s="5" t="s">
        <v>99</v>
      </c>
      <c r="D10" s="5" t="s">
        <v>50</v>
      </c>
      <c r="E10" s="5" t="s">
        <v>51</v>
      </c>
      <c r="F10" s="5" t="s">
        <v>52</v>
      </c>
      <c r="G10" s="5" t="s">
        <v>53</v>
      </c>
      <c r="H10" s="5" t="s">
        <v>54</v>
      </c>
      <c r="I10" s="5" t="s">
        <v>126</v>
      </c>
      <c r="J10" s="5" t="s">
        <v>56</v>
      </c>
      <c r="K10" s="5" t="s">
        <v>57</v>
      </c>
      <c r="L10" s="5" t="s">
        <v>58</v>
      </c>
      <c r="M10" s="5" t="s">
        <v>59</v>
      </c>
      <c r="N10" s="5" t="s">
        <v>60</v>
      </c>
      <c r="O10" s="5" t="s">
        <v>60</v>
      </c>
      <c r="P10" s="5" t="s">
        <v>61</v>
      </c>
      <c r="Q10" s="5" t="s">
        <v>62</v>
      </c>
      <c r="R10" s="5" t="s">
        <v>63</v>
      </c>
      <c r="S10" s="5" t="s">
        <v>64</v>
      </c>
      <c r="T10" s="5" t="s">
        <v>65</v>
      </c>
      <c r="U10" s="5" t="s">
        <v>66</v>
      </c>
      <c r="V10" s="5" t="s">
        <v>136</v>
      </c>
      <c r="W10" s="5" t="s">
        <v>137</v>
      </c>
      <c r="X10" s="5" t="s">
        <v>138</v>
      </c>
      <c r="Y10" s="5" t="s">
        <v>139</v>
      </c>
      <c r="Z10" s="5" t="s">
        <v>71</v>
      </c>
      <c r="AA10" s="5" t="s">
        <v>72</v>
      </c>
      <c r="AB10" s="5" t="s">
        <v>131</v>
      </c>
      <c r="AC10" s="5" t="s">
        <v>132</v>
      </c>
      <c r="AD10" s="5" t="s">
        <v>75</v>
      </c>
      <c r="AE10" s="5" t="s">
        <v>140</v>
      </c>
      <c r="AF10" s="6">
        <v>16500</v>
      </c>
      <c r="AG10" s="7">
        <v>1</v>
      </c>
      <c r="AH10" s="6">
        <v>16500</v>
      </c>
      <c r="AI10" s="5" t="s">
        <v>141</v>
      </c>
      <c r="AJ10" s="10">
        <v>45995</v>
      </c>
      <c r="AK10" s="5" t="s">
        <v>135</v>
      </c>
      <c r="AL10" s="5" t="s">
        <v>79</v>
      </c>
      <c r="AM10" s="5">
        <v>1619409</v>
      </c>
      <c r="AN10" s="5" t="s">
        <v>80</v>
      </c>
      <c r="AO10" s="5">
        <v>1094010</v>
      </c>
      <c r="AP10" s="5" t="s">
        <v>81</v>
      </c>
      <c r="AQ10" s="5" t="s">
        <v>64</v>
      </c>
      <c r="AR10" s="5" t="s">
        <v>138</v>
      </c>
      <c r="AS10" s="5"/>
      <c r="AT10" s="5"/>
      <c r="AU10" s="5"/>
      <c r="AV10" s="5"/>
      <c r="AW10" s="8"/>
      <c r="AX10" t="s">
        <v>1135</v>
      </c>
      <c r="AY10" t="s">
        <v>2152</v>
      </c>
    </row>
    <row r="11" spans="1:51" x14ac:dyDescent="0.35">
      <c r="A11" s="4" t="s">
        <v>48</v>
      </c>
      <c r="B11" s="5" t="s">
        <v>48</v>
      </c>
      <c r="C11" s="5" t="s">
        <v>99</v>
      </c>
      <c r="D11" s="5" t="s">
        <v>50</v>
      </c>
      <c r="E11" s="5" t="s">
        <v>51</v>
      </c>
      <c r="F11" s="5" t="s">
        <v>52</v>
      </c>
      <c r="G11" s="5" t="s">
        <v>53</v>
      </c>
      <c r="H11" s="5" t="s">
        <v>54</v>
      </c>
      <c r="I11" s="5" t="s">
        <v>126</v>
      </c>
      <c r="J11" s="5" t="s">
        <v>56</v>
      </c>
      <c r="K11" s="5" t="s">
        <v>57</v>
      </c>
      <c r="L11" s="5" t="s">
        <v>58</v>
      </c>
      <c r="M11" s="5" t="s">
        <v>59</v>
      </c>
      <c r="N11" s="5" t="s">
        <v>60</v>
      </c>
      <c r="O11" s="5" t="s">
        <v>60</v>
      </c>
      <c r="P11" s="5" t="s">
        <v>61</v>
      </c>
      <c r="Q11" s="5" t="s">
        <v>62</v>
      </c>
      <c r="R11" s="5" t="s">
        <v>63</v>
      </c>
      <c r="S11" s="5" t="s">
        <v>64</v>
      </c>
      <c r="T11" s="5" t="s">
        <v>65</v>
      </c>
      <c r="U11" s="5" t="s">
        <v>66</v>
      </c>
      <c r="V11" s="5" t="s">
        <v>93</v>
      </c>
      <c r="W11" s="5" t="s">
        <v>142</v>
      </c>
      <c r="X11" s="5" t="s">
        <v>69</v>
      </c>
      <c r="Y11" s="5" t="s">
        <v>96</v>
      </c>
      <c r="Z11" s="5" t="s">
        <v>71</v>
      </c>
      <c r="AA11" s="5" t="s">
        <v>87</v>
      </c>
      <c r="AB11" s="5" t="s">
        <v>88</v>
      </c>
      <c r="AC11" s="5" t="s">
        <v>89</v>
      </c>
      <c r="AD11" s="5" t="s">
        <v>75</v>
      </c>
      <c r="AE11" s="5" t="s">
        <v>97</v>
      </c>
      <c r="AF11" s="6">
        <v>4326</v>
      </c>
      <c r="AG11" s="7">
        <v>1</v>
      </c>
      <c r="AH11" s="6">
        <v>4326</v>
      </c>
      <c r="AI11" s="5" t="s">
        <v>91</v>
      </c>
      <c r="AJ11" s="10">
        <v>45995</v>
      </c>
      <c r="AK11" s="5" t="s">
        <v>135</v>
      </c>
      <c r="AL11" s="5" t="s">
        <v>79</v>
      </c>
      <c r="AM11" s="5">
        <v>1619409</v>
      </c>
      <c r="AN11" s="5" t="s">
        <v>80</v>
      </c>
      <c r="AO11" s="5">
        <v>1094010</v>
      </c>
      <c r="AP11" s="5" t="s">
        <v>81</v>
      </c>
      <c r="AQ11" s="5" t="s">
        <v>64</v>
      </c>
      <c r="AR11" s="5" t="s">
        <v>69</v>
      </c>
      <c r="AS11" s="5"/>
      <c r="AT11" s="5"/>
      <c r="AU11" s="5"/>
      <c r="AV11" s="5"/>
      <c r="AW11" s="8"/>
      <c r="AX11" t="s">
        <v>1135</v>
      </c>
      <c r="AY11" t="s">
        <v>2152</v>
      </c>
    </row>
    <row r="12" spans="1:51" x14ac:dyDescent="0.35">
      <c r="A12" s="4" t="s">
        <v>48</v>
      </c>
      <c r="B12" s="5" t="s">
        <v>48</v>
      </c>
      <c r="C12" s="5" t="s">
        <v>99</v>
      </c>
      <c r="D12" s="5" t="s">
        <v>50</v>
      </c>
      <c r="E12" s="5" t="s">
        <v>51</v>
      </c>
      <c r="F12" s="5" t="s">
        <v>52</v>
      </c>
      <c r="G12" s="5" t="s">
        <v>53</v>
      </c>
      <c r="H12" s="5" t="s">
        <v>54</v>
      </c>
      <c r="I12" s="5" t="s">
        <v>143</v>
      </c>
      <c r="J12" s="5" t="s">
        <v>56</v>
      </c>
      <c r="K12" s="5" t="s">
        <v>57</v>
      </c>
      <c r="L12" s="5" t="s">
        <v>58</v>
      </c>
      <c r="M12" s="5" t="s">
        <v>59</v>
      </c>
      <c r="N12" s="5" t="s">
        <v>60</v>
      </c>
      <c r="O12" s="5" t="s">
        <v>60</v>
      </c>
      <c r="P12" s="5" t="s">
        <v>61</v>
      </c>
      <c r="Q12" s="5" t="s">
        <v>62</v>
      </c>
      <c r="R12" s="5" t="s">
        <v>63</v>
      </c>
      <c r="S12" s="5" t="s">
        <v>64</v>
      </c>
      <c r="T12" s="5" t="s">
        <v>65</v>
      </c>
      <c r="U12" s="5" t="s">
        <v>66</v>
      </c>
      <c r="V12" s="5" t="s">
        <v>144</v>
      </c>
      <c r="W12" s="5" t="s">
        <v>145</v>
      </c>
      <c r="X12" s="5" t="s">
        <v>146</v>
      </c>
      <c r="Y12" s="5" t="s">
        <v>147</v>
      </c>
      <c r="Z12" s="5" t="s">
        <v>71</v>
      </c>
      <c r="AA12" s="5" t="s">
        <v>87</v>
      </c>
      <c r="AB12" s="5" t="s">
        <v>104</v>
      </c>
      <c r="AC12" s="5" t="s">
        <v>105</v>
      </c>
      <c r="AD12" s="5" t="s">
        <v>75</v>
      </c>
      <c r="AE12" s="5" t="s">
        <v>148</v>
      </c>
      <c r="AF12" s="6">
        <v>2920</v>
      </c>
      <c r="AG12" s="7">
        <v>1</v>
      </c>
      <c r="AH12" s="6">
        <v>2920</v>
      </c>
      <c r="AI12" s="5" t="s">
        <v>149</v>
      </c>
      <c r="AJ12" s="10">
        <v>45995</v>
      </c>
      <c r="AK12" s="5" t="s">
        <v>150</v>
      </c>
      <c r="AL12" s="5" t="s">
        <v>79</v>
      </c>
      <c r="AM12" s="5">
        <v>1619409</v>
      </c>
      <c r="AN12" s="5" t="s">
        <v>80</v>
      </c>
      <c r="AO12" s="5">
        <v>1094010</v>
      </c>
      <c r="AP12" s="5" t="s">
        <v>81</v>
      </c>
      <c r="AQ12" s="5" t="s">
        <v>64</v>
      </c>
      <c r="AR12" s="5" t="s">
        <v>146</v>
      </c>
      <c r="AS12" s="5"/>
      <c r="AT12" s="5"/>
      <c r="AU12" s="5"/>
      <c r="AV12" s="5"/>
      <c r="AW12" s="8"/>
      <c r="AX12" t="s">
        <v>1135</v>
      </c>
      <c r="AY12" t="s">
        <v>2152</v>
      </c>
    </row>
    <row r="13" spans="1:51" x14ac:dyDescent="0.35">
      <c r="A13" s="4" t="s">
        <v>48</v>
      </c>
      <c r="B13" s="5" t="s">
        <v>48</v>
      </c>
      <c r="C13" s="5" t="s">
        <v>99</v>
      </c>
      <c r="D13" s="5" t="s">
        <v>50</v>
      </c>
      <c r="E13" s="5" t="s">
        <v>51</v>
      </c>
      <c r="F13" s="5" t="s">
        <v>52</v>
      </c>
      <c r="G13" s="5" t="s">
        <v>53</v>
      </c>
      <c r="H13" s="5" t="s">
        <v>54</v>
      </c>
      <c r="I13" s="5" t="s">
        <v>143</v>
      </c>
      <c r="J13" s="5" t="s">
        <v>56</v>
      </c>
      <c r="K13" s="5" t="s">
        <v>57</v>
      </c>
      <c r="L13" s="5" t="s">
        <v>58</v>
      </c>
      <c r="M13" s="5" t="s">
        <v>59</v>
      </c>
      <c r="N13" s="5" t="s">
        <v>60</v>
      </c>
      <c r="O13" s="5" t="s">
        <v>60</v>
      </c>
      <c r="P13" s="5" t="s">
        <v>61</v>
      </c>
      <c r="Q13" s="5" t="s">
        <v>62</v>
      </c>
      <c r="R13" s="5" t="s">
        <v>63</v>
      </c>
      <c r="S13" s="5" t="s">
        <v>64</v>
      </c>
      <c r="T13" s="5" t="s">
        <v>65</v>
      </c>
      <c r="U13" s="5" t="s">
        <v>66</v>
      </c>
      <c r="V13" s="5" t="s">
        <v>151</v>
      </c>
      <c r="W13" s="5" t="s">
        <v>152</v>
      </c>
      <c r="X13" s="5" t="s">
        <v>95</v>
      </c>
      <c r="Y13" s="5" t="s">
        <v>153</v>
      </c>
      <c r="Z13" s="5" t="s">
        <v>71</v>
      </c>
      <c r="AA13" s="5" t="s">
        <v>87</v>
      </c>
      <c r="AB13" s="5" t="s">
        <v>88</v>
      </c>
      <c r="AC13" s="5" t="s">
        <v>89</v>
      </c>
      <c r="AD13" s="5" t="s">
        <v>75</v>
      </c>
      <c r="AE13" s="5" t="s">
        <v>97</v>
      </c>
      <c r="AF13" s="6">
        <v>4326</v>
      </c>
      <c r="AG13" s="7">
        <v>1</v>
      </c>
      <c r="AH13" s="6">
        <v>4326</v>
      </c>
      <c r="AI13" s="5" t="s">
        <v>154</v>
      </c>
      <c r="AJ13" s="10">
        <v>45995</v>
      </c>
      <c r="AK13" s="5" t="s">
        <v>150</v>
      </c>
      <c r="AL13" s="5" t="s">
        <v>79</v>
      </c>
      <c r="AM13" s="5">
        <v>1619409</v>
      </c>
      <c r="AN13" s="5" t="s">
        <v>80</v>
      </c>
      <c r="AO13" s="5">
        <v>1094010</v>
      </c>
      <c r="AP13" s="5" t="s">
        <v>81</v>
      </c>
      <c r="AQ13" s="5" t="s">
        <v>64</v>
      </c>
      <c r="AR13" s="5" t="s">
        <v>95</v>
      </c>
      <c r="AS13" s="5"/>
      <c r="AT13" s="5"/>
      <c r="AU13" s="5"/>
      <c r="AV13" s="5"/>
      <c r="AW13" s="8"/>
      <c r="AX13" t="s">
        <v>1135</v>
      </c>
      <c r="AY13" t="s">
        <v>2152</v>
      </c>
    </row>
    <row r="14" spans="1:51" x14ac:dyDescent="0.35">
      <c r="A14" s="4" t="s">
        <v>48</v>
      </c>
      <c r="B14" s="5" t="s">
        <v>48</v>
      </c>
      <c r="C14" s="5" t="s">
        <v>99</v>
      </c>
      <c r="D14" s="5" t="s">
        <v>50</v>
      </c>
      <c r="E14" s="5" t="s">
        <v>51</v>
      </c>
      <c r="F14" s="5" t="s">
        <v>52</v>
      </c>
      <c r="G14" s="5" t="s">
        <v>53</v>
      </c>
      <c r="H14" s="5" t="s">
        <v>54</v>
      </c>
      <c r="I14" s="5" t="s">
        <v>143</v>
      </c>
      <c r="J14" s="5" t="s">
        <v>56</v>
      </c>
      <c r="K14" s="5" t="s">
        <v>57</v>
      </c>
      <c r="L14" s="5" t="s">
        <v>58</v>
      </c>
      <c r="M14" s="5" t="s">
        <v>59</v>
      </c>
      <c r="N14" s="5" t="s">
        <v>60</v>
      </c>
      <c r="O14" s="5" t="s">
        <v>60</v>
      </c>
      <c r="P14" s="5" t="s">
        <v>61</v>
      </c>
      <c r="Q14" s="5" t="s">
        <v>62</v>
      </c>
      <c r="R14" s="5" t="s">
        <v>63</v>
      </c>
      <c r="S14" s="5" t="s">
        <v>64</v>
      </c>
      <c r="T14" s="5" t="s">
        <v>65</v>
      </c>
      <c r="U14" s="5" t="s">
        <v>66</v>
      </c>
      <c r="V14" s="5" t="s">
        <v>155</v>
      </c>
      <c r="W14" s="5" t="s">
        <v>156</v>
      </c>
      <c r="X14" s="5" t="s">
        <v>85</v>
      </c>
      <c r="Y14" s="5" t="s">
        <v>157</v>
      </c>
      <c r="Z14" s="5" t="s">
        <v>71</v>
      </c>
      <c r="AA14" s="5" t="s">
        <v>72</v>
      </c>
      <c r="AB14" s="5" t="s">
        <v>73</v>
      </c>
      <c r="AC14" s="5" t="s">
        <v>74</v>
      </c>
      <c r="AD14" s="5" t="s">
        <v>75</v>
      </c>
      <c r="AE14" s="5" t="s">
        <v>158</v>
      </c>
      <c r="AF14" s="6">
        <v>35818.480000000003</v>
      </c>
      <c r="AG14" s="7">
        <v>1</v>
      </c>
      <c r="AH14" s="6">
        <v>35818.480000000003</v>
      </c>
      <c r="AI14" s="5" t="s">
        <v>134</v>
      </c>
      <c r="AJ14" s="10">
        <v>45995</v>
      </c>
      <c r="AK14" s="5" t="s">
        <v>150</v>
      </c>
      <c r="AL14" s="5" t="s">
        <v>79</v>
      </c>
      <c r="AM14" s="5">
        <v>1619409</v>
      </c>
      <c r="AN14" s="5" t="s">
        <v>80</v>
      </c>
      <c r="AO14" s="5">
        <v>1094010</v>
      </c>
      <c r="AP14" s="5" t="s">
        <v>81</v>
      </c>
      <c r="AQ14" s="5" t="s">
        <v>64</v>
      </c>
      <c r="AR14" s="5" t="s">
        <v>85</v>
      </c>
      <c r="AS14" s="5"/>
      <c r="AT14" s="5"/>
      <c r="AU14" s="5"/>
      <c r="AV14" s="5"/>
      <c r="AW14" s="8"/>
      <c r="AX14" t="s">
        <v>1135</v>
      </c>
      <c r="AY14" t="s">
        <v>2152</v>
      </c>
    </row>
    <row r="15" spans="1:51" x14ac:dyDescent="0.35">
      <c r="A15" s="4" t="s">
        <v>48</v>
      </c>
      <c r="B15" s="5" t="s">
        <v>48</v>
      </c>
      <c r="C15" s="5" t="s">
        <v>159</v>
      </c>
      <c r="D15" s="5" t="s">
        <v>50</v>
      </c>
      <c r="E15" s="5" t="s">
        <v>51</v>
      </c>
      <c r="F15" s="5" t="s">
        <v>52</v>
      </c>
      <c r="G15" s="5" t="s">
        <v>53</v>
      </c>
      <c r="H15" s="5" t="s">
        <v>54</v>
      </c>
      <c r="I15" s="5" t="s">
        <v>160</v>
      </c>
      <c r="J15" s="5" t="s">
        <v>56</v>
      </c>
      <c r="K15" s="5" t="s">
        <v>57</v>
      </c>
      <c r="L15" s="5" t="s">
        <v>58</v>
      </c>
      <c r="M15" s="5" t="s">
        <v>59</v>
      </c>
      <c r="N15" s="5" t="s">
        <v>60</v>
      </c>
      <c r="O15" s="5" t="s">
        <v>60</v>
      </c>
      <c r="P15" s="5" t="s">
        <v>61</v>
      </c>
      <c r="Q15" s="5" t="s">
        <v>62</v>
      </c>
      <c r="R15" s="5" t="s">
        <v>63</v>
      </c>
      <c r="S15" s="5" t="s">
        <v>64</v>
      </c>
      <c r="T15" s="5" t="s">
        <v>65</v>
      </c>
      <c r="U15" s="5" t="s">
        <v>66</v>
      </c>
      <c r="V15" s="5" t="s">
        <v>93</v>
      </c>
      <c r="W15" s="5" t="s">
        <v>161</v>
      </c>
      <c r="X15" s="5" t="s">
        <v>162</v>
      </c>
      <c r="Y15" s="5" t="s">
        <v>96</v>
      </c>
      <c r="Z15" s="5" t="s">
        <v>71</v>
      </c>
      <c r="AA15" s="5" t="s">
        <v>87</v>
      </c>
      <c r="AB15" s="5" t="s">
        <v>88</v>
      </c>
      <c r="AC15" s="5" t="s">
        <v>89</v>
      </c>
      <c r="AD15" s="5" t="s">
        <v>75</v>
      </c>
      <c r="AE15" s="5" t="s">
        <v>97</v>
      </c>
      <c r="AF15" s="6">
        <v>4326</v>
      </c>
      <c r="AG15" s="7">
        <v>1</v>
      </c>
      <c r="AH15" s="6">
        <v>4326</v>
      </c>
      <c r="AI15" s="5" t="s">
        <v>163</v>
      </c>
      <c r="AJ15" s="10">
        <v>45996</v>
      </c>
      <c r="AK15" s="5" t="s">
        <v>164</v>
      </c>
      <c r="AL15" s="5" t="s">
        <v>79</v>
      </c>
      <c r="AM15" s="5">
        <v>1619409</v>
      </c>
      <c r="AN15" s="5" t="s">
        <v>80</v>
      </c>
      <c r="AO15" s="5">
        <v>1094010</v>
      </c>
      <c r="AP15" s="5" t="s">
        <v>81</v>
      </c>
      <c r="AQ15" s="5" t="s">
        <v>64</v>
      </c>
      <c r="AR15" s="5" t="s">
        <v>162</v>
      </c>
      <c r="AS15" s="5"/>
      <c r="AT15" s="5"/>
      <c r="AU15" s="5"/>
      <c r="AV15" s="5"/>
      <c r="AW15" s="8"/>
      <c r="AX15" t="s">
        <v>1135</v>
      </c>
      <c r="AY15" t="s">
        <v>2152</v>
      </c>
    </row>
    <row r="16" spans="1:51" x14ac:dyDescent="0.35">
      <c r="A16" s="4" t="s">
        <v>48</v>
      </c>
      <c r="B16" s="5" t="s">
        <v>48</v>
      </c>
      <c r="C16" s="5" t="s">
        <v>159</v>
      </c>
      <c r="D16" s="5" t="s">
        <v>50</v>
      </c>
      <c r="E16" s="5" t="s">
        <v>51</v>
      </c>
      <c r="F16" s="5" t="s">
        <v>52</v>
      </c>
      <c r="G16" s="5" t="s">
        <v>53</v>
      </c>
      <c r="H16" s="5" t="s">
        <v>54</v>
      </c>
      <c r="I16" s="5" t="s">
        <v>165</v>
      </c>
      <c r="J16" s="5" t="s">
        <v>56</v>
      </c>
      <c r="K16" s="5" t="s">
        <v>57</v>
      </c>
      <c r="L16" s="5" t="s">
        <v>58</v>
      </c>
      <c r="M16" s="5" t="s">
        <v>59</v>
      </c>
      <c r="N16" s="5" t="s">
        <v>60</v>
      </c>
      <c r="O16" s="5" t="s">
        <v>60</v>
      </c>
      <c r="P16" s="5" t="s">
        <v>61</v>
      </c>
      <c r="Q16" s="5" t="s">
        <v>62</v>
      </c>
      <c r="R16" s="5" t="s">
        <v>63</v>
      </c>
      <c r="S16" s="5" t="s">
        <v>64</v>
      </c>
      <c r="T16" s="5" t="s">
        <v>65</v>
      </c>
      <c r="U16" s="5" t="s">
        <v>66</v>
      </c>
      <c r="V16" s="5" t="s">
        <v>166</v>
      </c>
      <c r="W16" s="5" t="s">
        <v>167</v>
      </c>
      <c r="X16" s="5" t="s">
        <v>168</v>
      </c>
      <c r="Y16" s="5" t="s">
        <v>169</v>
      </c>
      <c r="Z16" s="5" t="s">
        <v>71</v>
      </c>
      <c r="AA16" s="5" t="s">
        <v>87</v>
      </c>
      <c r="AB16" s="5" t="s">
        <v>104</v>
      </c>
      <c r="AC16" s="5" t="s">
        <v>105</v>
      </c>
      <c r="AD16" s="5" t="s">
        <v>75</v>
      </c>
      <c r="AE16" s="5" t="s">
        <v>170</v>
      </c>
      <c r="AF16" s="6">
        <v>2920</v>
      </c>
      <c r="AG16" s="7">
        <v>1</v>
      </c>
      <c r="AH16" s="6">
        <v>2920</v>
      </c>
      <c r="AI16" s="5" t="s">
        <v>171</v>
      </c>
      <c r="AJ16" s="10">
        <v>45996</v>
      </c>
      <c r="AK16" s="5" t="s">
        <v>172</v>
      </c>
      <c r="AL16" s="5" t="s">
        <v>79</v>
      </c>
      <c r="AM16" s="5">
        <v>1619409</v>
      </c>
      <c r="AN16" s="5" t="s">
        <v>80</v>
      </c>
      <c r="AO16" s="5">
        <v>1094010</v>
      </c>
      <c r="AP16" s="5" t="s">
        <v>81</v>
      </c>
      <c r="AQ16" s="5" t="s">
        <v>64</v>
      </c>
      <c r="AR16" s="5" t="s">
        <v>168</v>
      </c>
      <c r="AS16" s="5"/>
      <c r="AT16" s="5"/>
      <c r="AU16" s="5"/>
      <c r="AV16" s="5"/>
      <c r="AW16" s="8"/>
      <c r="AX16" t="s">
        <v>1135</v>
      </c>
      <c r="AY16" t="s">
        <v>2152</v>
      </c>
    </row>
    <row r="17" spans="1:51" x14ac:dyDescent="0.35">
      <c r="A17" s="4" t="s">
        <v>48</v>
      </c>
      <c r="B17" s="5" t="s">
        <v>48</v>
      </c>
      <c r="C17" s="5" t="s">
        <v>159</v>
      </c>
      <c r="D17" s="5" t="s">
        <v>50</v>
      </c>
      <c r="E17" s="5" t="s">
        <v>51</v>
      </c>
      <c r="F17" s="5" t="s">
        <v>173</v>
      </c>
      <c r="G17" s="5" t="s">
        <v>174</v>
      </c>
      <c r="H17" s="5" t="s">
        <v>54</v>
      </c>
      <c r="I17" s="5" t="s">
        <v>175</v>
      </c>
      <c r="J17" s="5" t="s">
        <v>176</v>
      </c>
      <c r="K17" s="5">
        <v>741233</v>
      </c>
      <c r="L17" s="5" t="s">
        <v>58</v>
      </c>
      <c r="M17" s="5" t="s">
        <v>178</v>
      </c>
      <c r="N17" s="5" t="s">
        <v>60</v>
      </c>
      <c r="O17" s="5" t="s">
        <v>60</v>
      </c>
      <c r="P17" s="5" t="s">
        <v>61</v>
      </c>
      <c r="Q17" s="5" t="s">
        <v>62</v>
      </c>
      <c r="R17" s="5" t="s">
        <v>63</v>
      </c>
      <c r="S17" s="5" t="s">
        <v>64</v>
      </c>
      <c r="T17" s="5" t="s">
        <v>65</v>
      </c>
      <c r="U17" s="5" t="s">
        <v>66</v>
      </c>
      <c r="V17" s="5" t="s">
        <v>179</v>
      </c>
      <c r="W17" s="5" t="s">
        <v>180</v>
      </c>
      <c r="X17" s="5" t="s">
        <v>146</v>
      </c>
      <c r="Y17" s="5" t="s">
        <v>181</v>
      </c>
      <c r="Z17" s="5" t="s">
        <v>174</v>
      </c>
      <c r="AA17" s="5" t="s">
        <v>182</v>
      </c>
      <c r="AB17" s="5" t="s">
        <v>183</v>
      </c>
      <c r="AC17" s="5" t="s">
        <v>184</v>
      </c>
      <c r="AD17" s="5" t="s">
        <v>75</v>
      </c>
      <c r="AE17" s="5" t="s">
        <v>185</v>
      </c>
      <c r="AF17" s="6">
        <v>5209</v>
      </c>
      <c r="AG17" s="7">
        <v>1</v>
      </c>
      <c r="AH17" s="6">
        <v>5209</v>
      </c>
      <c r="AI17" s="5" t="s">
        <v>186</v>
      </c>
      <c r="AJ17" s="10">
        <v>45996</v>
      </c>
      <c r="AK17" s="5" t="s">
        <v>187</v>
      </c>
      <c r="AL17" s="5" t="s">
        <v>188</v>
      </c>
      <c r="AM17" s="5">
        <v>2331362</v>
      </c>
      <c r="AN17" s="5" t="s">
        <v>189</v>
      </c>
      <c r="AO17" s="5">
        <v>1594456</v>
      </c>
      <c r="AP17" s="5" t="s">
        <v>81</v>
      </c>
      <c r="AQ17" s="5" t="s">
        <v>64</v>
      </c>
      <c r="AR17" s="5" t="s">
        <v>146</v>
      </c>
      <c r="AS17" s="5"/>
      <c r="AT17" s="5"/>
      <c r="AU17" s="5"/>
      <c r="AV17" s="5"/>
      <c r="AW17" s="8"/>
      <c r="AX17" t="s">
        <v>1135</v>
      </c>
      <c r="AY17" t="s">
        <v>2191</v>
      </c>
    </row>
    <row r="18" spans="1:51" x14ac:dyDescent="0.35">
      <c r="A18" s="4" t="s">
        <v>48</v>
      </c>
      <c r="B18" s="5" t="s">
        <v>48</v>
      </c>
      <c r="C18" s="5" t="s">
        <v>190</v>
      </c>
      <c r="D18" s="5" t="s">
        <v>50</v>
      </c>
      <c r="E18" s="5" t="s">
        <v>51</v>
      </c>
      <c r="F18" s="5" t="s">
        <v>173</v>
      </c>
      <c r="G18" s="5" t="s">
        <v>53</v>
      </c>
      <c r="H18" s="5" t="s">
        <v>54</v>
      </c>
      <c r="I18" s="5" t="s">
        <v>191</v>
      </c>
      <c r="J18" s="5" t="s">
        <v>56</v>
      </c>
      <c r="K18" s="5" t="s">
        <v>57</v>
      </c>
      <c r="L18" s="5" t="s">
        <v>58</v>
      </c>
      <c r="M18" s="5" t="s">
        <v>59</v>
      </c>
      <c r="N18" s="5" t="s">
        <v>60</v>
      </c>
      <c r="O18" s="5" t="s">
        <v>60</v>
      </c>
      <c r="P18" s="5" t="s">
        <v>61</v>
      </c>
      <c r="Q18" s="5" t="s">
        <v>62</v>
      </c>
      <c r="R18" s="5" t="s">
        <v>63</v>
      </c>
      <c r="S18" s="5" t="s">
        <v>64</v>
      </c>
      <c r="T18" s="5" t="s">
        <v>65</v>
      </c>
      <c r="U18" s="5" t="s">
        <v>66</v>
      </c>
      <c r="V18" s="5" t="s">
        <v>166</v>
      </c>
      <c r="W18" s="5" t="s">
        <v>192</v>
      </c>
      <c r="X18" s="5" t="s">
        <v>168</v>
      </c>
      <c r="Y18" s="5" t="s">
        <v>169</v>
      </c>
      <c r="Z18" s="5" t="s">
        <v>71</v>
      </c>
      <c r="AA18" s="5" t="s">
        <v>87</v>
      </c>
      <c r="AB18" s="5" t="s">
        <v>104</v>
      </c>
      <c r="AC18" s="5" t="s">
        <v>105</v>
      </c>
      <c r="AD18" s="5" t="s">
        <v>75</v>
      </c>
      <c r="AE18" s="5" t="s">
        <v>170</v>
      </c>
      <c r="AF18" s="6">
        <v>2920</v>
      </c>
      <c r="AG18" s="7">
        <v>1</v>
      </c>
      <c r="AH18" s="6">
        <v>2920</v>
      </c>
      <c r="AI18" s="5" t="s">
        <v>193</v>
      </c>
      <c r="AJ18" s="10">
        <v>46000</v>
      </c>
      <c r="AK18" s="5" t="s">
        <v>194</v>
      </c>
      <c r="AL18" s="5" t="s">
        <v>79</v>
      </c>
      <c r="AM18" s="5">
        <v>1619409</v>
      </c>
      <c r="AN18" s="5" t="s">
        <v>80</v>
      </c>
      <c r="AO18" s="5">
        <v>1094010</v>
      </c>
      <c r="AP18" s="5" t="s">
        <v>81</v>
      </c>
      <c r="AQ18" s="5" t="s">
        <v>64</v>
      </c>
      <c r="AR18" s="5" t="s">
        <v>168</v>
      </c>
      <c r="AS18" s="5"/>
      <c r="AT18" s="5"/>
      <c r="AU18" s="5"/>
      <c r="AV18" s="5"/>
      <c r="AW18" s="8"/>
      <c r="AX18" t="s">
        <v>1135</v>
      </c>
      <c r="AY18" t="s">
        <v>2152</v>
      </c>
    </row>
    <row r="19" spans="1:51" x14ac:dyDescent="0.35">
      <c r="A19" s="4" t="s">
        <v>48</v>
      </c>
      <c r="B19" s="5" t="s">
        <v>48</v>
      </c>
      <c r="C19" s="5" t="s">
        <v>190</v>
      </c>
      <c r="D19" s="5" t="s">
        <v>50</v>
      </c>
      <c r="E19" s="5" t="s">
        <v>51</v>
      </c>
      <c r="F19" s="5" t="s">
        <v>173</v>
      </c>
      <c r="G19" s="5" t="s">
        <v>53</v>
      </c>
      <c r="H19" s="5" t="s">
        <v>54</v>
      </c>
      <c r="I19" s="5" t="s">
        <v>195</v>
      </c>
      <c r="J19" s="5" t="s">
        <v>56</v>
      </c>
      <c r="K19" s="5" t="s">
        <v>57</v>
      </c>
      <c r="L19" s="5" t="s">
        <v>58</v>
      </c>
      <c r="M19" s="5" t="s">
        <v>59</v>
      </c>
      <c r="N19" s="5" t="s">
        <v>60</v>
      </c>
      <c r="O19" s="5" t="s">
        <v>60</v>
      </c>
      <c r="P19" s="5" t="s">
        <v>61</v>
      </c>
      <c r="Q19" s="5" t="s">
        <v>62</v>
      </c>
      <c r="R19" s="5" t="s">
        <v>63</v>
      </c>
      <c r="S19" s="5" t="s">
        <v>64</v>
      </c>
      <c r="T19" s="5" t="s">
        <v>65</v>
      </c>
      <c r="U19" s="5" t="s">
        <v>66</v>
      </c>
      <c r="V19" s="5" t="s">
        <v>166</v>
      </c>
      <c r="W19" s="5" t="s">
        <v>167</v>
      </c>
      <c r="X19" s="5" t="s">
        <v>168</v>
      </c>
      <c r="Y19" s="5" t="s">
        <v>169</v>
      </c>
      <c r="Z19" s="5" t="s">
        <v>71</v>
      </c>
      <c r="AA19" s="5" t="s">
        <v>87</v>
      </c>
      <c r="AB19" s="5" t="s">
        <v>104</v>
      </c>
      <c r="AC19" s="5" t="s">
        <v>105</v>
      </c>
      <c r="AD19" s="5" t="s">
        <v>75</v>
      </c>
      <c r="AE19" s="5" t="s">
        <v>170</v>
      </c>
      <c r="AF19" s="6">
        <v>2920</v>
      </c>
      <c r="AG19" s="7">
        <v>1</v>
      </c>
      <c r="AH19" s="6">
        <v>2920</v>
      </c>
      <c r="AI19" s="5" t="s">
        <v>171</v>
      </c>
      <c r="AJ19" s="10">
        <v>46000</v>
      </c>
      <c r="AK19" s="5" t="s">
        <v>196</v>
      </c>
      <c r="AL19" s="5" t="s">
        <v>79</v>
      </c>
      <c r="AM19" s="5">
        <v>1619409</v>
      </c>
      <c r="AN19" s="5" t="s">
        <v>80</v>
      </c>
      <c r="AO19" s="5">
        <v>1094010</v>
      </c>
      <c r="AP19" s="5" t="s">
        <v>81</v>
      </c>
      <c r="AQ19" s="5" t="s">
        <v>64</v>
      </c>
      <c r="AR19" s="5" t="s">
        <v>168</v>
      </c>
      <c r="AS19" s="5"/>
      <c r="AT19" s="5"/>
      <c r="AU19" s="5"/>
      <c r="AV19" s="5"/>
      <c r="AW19" s="8"/>
      <c r="AX19" t="s">
        <v>1135</v>
      </c>
      <c r="AY19" t="s">
        <v>2152</v>
      </c>
    </row>
    <row r="20" spans="1:51" x14ac:dyDescent="0.35">
      <c r="A20" s="4" t="s">
        <v>48</v>
      </c>
      <c r="B20" s="5" t="s">
        <v>48</v>
      </c>
      <c r="C20" s="5" t="s">
        <v>190</v>
      </c>
      <c r="D20" s="5" t="s">
        <v>50</v>
      </c>
      <c r="E20" s="5" t="s">
        <v>51</v>
      </c>
      <c r="F20" s="5" t="s">
        <v>173</v>
      </c>
      <c r="G20" s="5" t="s">
        <v>53</v>
      </c>
      <c r="H20" s="5" t="s">
        <v>54</v>
      </c>
      <c r="I20" s="5" t="s">
        <v>195</v>
      </c>
      <c r="J20" s="5" t="s">
        <v>56</v>
      </c>
      <c r="K20" s="5" t="s">
        <v>57</v>
      </c>
      <c r="L20" s="5" t="s">
        <v>58</v>
      </c>
      <c r="M20" s="5" t="s">
        <v>59</v>
      </c>
      <c r="N20" s="5" t="s">
        <v>60</v>
      </c>
      <c r="O20" s="5" t="s">
        <v>60</v>
      </c>
      <c r="P20" s="5" t="s">
        <v>61</v>
      </c>
      <c r="Q20" s="5" t="s">
        <v>62</v>
      </c>
      <c r="R20" s="5" t="s">
        <v>63</v>
      </c>
      <c r="S20" s="5" t="s">
        <v>64</v>
      </c>
      <c r="T20" s="5" t="s">
        <v>65</v>
      </c>
      <c r="U20" s="5" t="s">
        <v>66</v>
      </c>
      <c r="V20" s="5" t="s">
        <v>197</v>
      </c>
      <c r="W20" s="5" t="s">
        <v>198</v>
      </c>
      <c r="X20" s="5" t="s">
        <v>199</v>
      </c>
      <c r="Y20" s="5" t="s">
        <v>200</v>
      </c>
      <c r="Z20" s="5" t="s">
        <v>71</v>
      </c>
      <c r="AA20" s="5" t="s">
        <v>72</v>
      </c>
      <c r="AB20" s="5" t="s">
        <v>73</v>
      </c>
      <c r="AC20" s="5" t="s">
        <v>74</v>
      </c>
      <c r="AD20" s="5" t="s">
        <v>75</v>
      </c>
      <c r="AE20" s="5" t="s">
        <v>201</v>
      </c>
      <c r="AF20" s="6">
        <v>35203.86</v>
      </c>
      <c r="AG20" s="7">
        <v>1</v>
      </c>
      <c r="AH20" s="6">
        <v>35203.86</v>
      </c>
      <c r="AI20" s="5" t="s">
        <v>202</v>
      </c>
      <c r="AJ20" s="10">
        <v>46000</v>
      </c>
      <c r="AK20" s="5" t="s">
        <v>196</v>
      </c>
      <c r="AL20" s="5" t="s">
        <v>79</v>
      </c>
      <c r="AM20" s="5">
        <v>1619409</v>
      </c>
      <c r="AN20" s="5" t="s">
        <v>80</v>
      </c>
      <c r="AO20" s="5">
        <v>1094010</v>
      </c>
      <c r="AP20" s="5" t="s">
        <v>81</v>
      </c>
      <c r="AQ20" s="5" t="s">
        <v>64</v>
      </c>
      <c r="AR20" s="5" t="s">
        <v>199</v>
      </c>
      <c r="AS20" s="5"/>
      <c r="AT20" s="5"/>
      <c r="AU20" s="5"/>
      <c r="AV20" s="5"/>
      <c r="AW20" s="8"/>
      <c r="AX20" t="s">
        <v>1135</v>
      </c>
      <c r="AY20" t="s">
        <v>2152</v>
      </c>
    </row>
    <row r="21" spans="1:51" x14ac:dyDescent="0.35">
      <c r="A21" s="4" t="s">
        <v>48</v>
      </c>
      <c r="B21" s="5" t="s">
        <v>48</v>
      </c>
      <c r="C21" s="5" t="s">
        <v>190</v>
      </c>
      <c r="D21" s="5" t="s">
        <v>50</v>
      </c>
      <c r="E21" s="5" t="s">
        <v>51</v>
      </c>
      <c r="F21" s="5" t="s">
        <v>173</v>
      </c>
      <c r="G21" s="5" t="s">
        <v>53</v>
      </c>
      <c r="H21" s="5" t="s">
        <v>54</v>
      </c>
      <c r="I21" s="5" t="s">
        <v>203</v>
      </c>
      <c r="J21" s="5" t="s">
        <v>56</v>
      </c>
      <c r="K21" s="5" t="s">
        <v>57</v>
      </c>
      <c r="L21" s="5" t="s">
        <v>58</v>
      </c>
      <c r="M21" s="5" t="s">
        <v>59</v>
      </c>
      <c r="N21" s="5" t="s">
        <v>60</v>
      </c>
      <c r="O21" s="5" t="s">
        <v>60</v>
      </c>
      <c r="P21" s="5" t="s">
        <v>61</v>
      </c>
      <c r="Q21" s="5" t="s">
        <v>62</v>
      </c>
      <c r="R21" s="5" t="s">
        <v>63</v>
      </c>
      <c r="S21" s="5" t="s">
        <v>64</v>
      </c>
      <c r="T21" s="5" t="s">
        <v>65</v>
      </c>
      <c r="U21" s="5" t="s">
        <v>66</v>
      </c>
      <c r="V21" s="5" t="s">
        <v>166</v>
      </c>
      <c r="W21" s="5" t="s">
        <v>192</v>
      </c>
      <c r="X21" s="5" t="s">
        <v>168</v>
      </c>
      <c r="Y21" s="5" t="s">
        <v>169</v>
      </c>
      <c r="Z21" s="5" t="s">
        <v>71</v>
      </c>
      <c r="AA21" s="5" t="s">
        <v>87</v>
      </c>
      <c r="AB21" s="5" t="s">
        <v>104</v>
      </c>
      <c r="AC21" s="5" t="s">
        <v>105</v>
      </c>
      <c r="AD21" s="5" t="s">
        <v>75</v>
      </c>
      <c r="AE21" s="5" t="s">
        <v>170</v>
      </c>
      <c r="AF21" s="6">
        <v>2920</v>
      </c>
      <c r="AG21" s="7">
        <v>1</v>
      </c>
      <c r="AH21" s="6">
        <v>2920</v>
      </c>
      <c r="AI21" s="5" t="s">
        <v>193</v>
      </c>
      <c r="AJ21" s="10">
        <v>46000</v>
      </c>
      <c r="AK21" s="5" t="s">
        <v>204</v>
      </c>
      <c r="AL21" s="5" t="s">
        <v>79</v>
      </c>
      <c r="AM21" s="5">
        <v>1619409</v>
      </c>
      <c r="AN21" s="5" t="s">
        <v>80</v>
      </c>
      <c r="AO21" s="5">
        <v>1094010</v>
      </c>
      <c r="AP21" s="5" t="s">
        <v>81</v>
      </c>
      <c r="AQ21" s="5" t="s">
        <v>64</v>
      </c>
      <c r="AR21" s="5" t="s">
        <v>168</v>
      </c>
      <c r="AS21" s="5"/>
      <c r="AT21" s="5"/>
      <c r="AU21" s="5"/>
      <c r="AV21" s="5"/>
      <c r="AW21" s="8"/>
      <c r="AX21" t="s">
        <v>1135</v>
      </c>
      <c r="AY21" t="s">
        <v>2152</v>
      </c>
    </row>
    <row r="22" spans="1:51" x14ac:dyDescent="0.35">
      <c r="A22" s="4" t="s">
        <v>48</v>
      </c>
      <c r="B22" s="5" t="s">
        <v>48</v>
      </c>
      <c r="C22" s="5" t="s">
        <v>190</v>
      </c>
      <c r="D22" s="5" t="s">
        <v>50</v>
      </c>
      <c r="E22" s="5" t="s">
        <v>51</v>
      </c>
      <c r="F22" s="5" t="s">
        <v>173</v>
      </c>
      <c r="G22" s="5" t="s">
        <v>53</v>
      </c>
      <c r="H22" s="5" t="s">
        <v>54</v>
      </c>
      <c r="I22" s="5" t="s">
        <v>203</v>
      </c>
      <c r="J22" s="5" t="s">
        <v>56</v>
      </c>
      <c r="K22" s="5" t="s">
        <v>57</v>
      </c>
      <c r="L22" s="5" t="s">
        <v>58</v>
      </c>
      <c r="M22" s="5" t="s">
        <v>59</v>
      </c>
      <c r="N22" s="5" t="s">
        <v>60</v>
      </c>
      <c r="O22" s="5" t="s">
        <v>60</v>
      </c>
      <c r="P22" s="5" t="s">
        <v>61</v>
      </c>
      <c r="Q22" s="5" t="s">
        <v>62</v>
      </c>
      <c r="R22" s="5" t="s">
        <v>63</v>
      </c>
      <c r="S22" s="5" t="s">
        <v>64</v>
      </c>
      <c r="T22" s="5" t="s">
        <v>65</v>
      </c>
      <c r="U22" s="5" t="s">
        <v>66</v>
      </c>
      <c r="V22" s="5" t="s">
        <v>205</v>
      </c>
      <c r="W22" s="5" t="s">
        <v>206</v>
      </c>
      <c r="X22" s="5" t="s">
        <v>207</v>
      </c>
      <c r="Y22" s="5" t="s">
        <v>208</v>
      </c>
      <c r="Z22" s="5" t="s">
        <v>71</v>
      </c>
      <c r="AA22" s="5" t="s">
        <v>72</v>
      </c>
      <c r="AB22" s="5" t="s">
        <v>73</v>
      </c>
      <c r="AC22" s="5" t="s">
        <v>74</v>
      </c>
      <c r="AD22" s="5" t="s">
        <v>75</v>
      </c>
      <c r="AE22" s="5" t="s">
        <v>76</v>
      </c>
      <c r="AF22" s="6">
        <v>35818.480000000003</v>
      </c>
      <c r="AG22" s="7">
        <v>1</v>
      </c>
      <c r="AH22" s="6">
        <v>35818.480000000003</v>
      </c>
      <c r="AI22" s="5" t="s">
        <v>209</v>
      </c>
      <c r="AJ22" s="10">
        <v>46000</v>
      </c>
      <c r="AK22" s="5" t="s">
        <v>204</v>
      </c>
      <c r="AL22" s="5" t="s">
        <v>79</v>
      </c>
      <c r="AM22" s="5">
        <v>1619409</v>
      </c>
      <c r="AN22" s="5" t="s">
        <v>80</v>
      </c>
      <c r="AO22" s="5">
        <v>1094010</v>
      </c>
      <c r="AP22" s="5" t="s">
        <v>81</v>
      </c>
      <c r="AQ22" s="5" t="s">
        <v>64</v>
      </c>
      <c r="AR22" s="5" t="s">
        <v>207</v>
      </c>
      <c r="AS22" s="5"/>
      <c r="AT22" s="5"/>
      <c r="AU22" s="5"/>
      <c r="AV22" s="5"/>
      <c r="AW22" s="8"/>
      <c r="AX22" t="s">
        <v>1135</v>
      </c>
      <c r="AY22" t="s">
        <v>2152</v>
      </c>
    </row>
    <row r="23" spans="1:51" x14ac:dyDescent="0.35">
      <c r="A23" s="4" t="s">
        <v>48</v>
      </c>
      <c r="B23" s="5" t="s">
        <v>48</v>
      </c>
      <c r="C23" s="5" t="s">
        <v>210</v>
      </c>
      <c r="D23" s="5" t="s">
        <v>50</v>
      </c>
      <c r="E23" s="5" t="s">
        <v>51</v>
      </c>
      <c r="F23" s="5" t="s">
        <v>173</v>
      </c>
      <c r="G23" s="5" t="s">
        <v>53</v>
      </c>
      <c r="H23" s="5" t="s">
        <v>54</v>
      </c>
      <c r="I23" s="5" t="s">
        <v>211</v>
      </c>
      <c r="J23" s="5" t="s">
        <v>56</v>
      </c>
      <c r="K23" s="5" t="s">
        <v>57</v>
      </c>
      <c r="L23" s="5" t="s">
        <v>58</v>
      </c>
      <c r="M23" s="5" t="s">
        <v>59</v>
      </c>
      <c r="N23" s="5" t="s">
        <v>60</v>
      </c>
      <c r="O23" s="5" t="s">
        <v>60</v>
      </c>
      <c r="P23" s="5" t="s">
        <v>61</v>
      </c>
      <c r="Q23" s="5" t="s">
        <v>62</v>
      </c>
      <c r="R23" s="5" t="s">
        <v>63</v>
      </c>
      <c r="S23" s="5" t="s">
        <v>64</v>
      </c>
      <c r="T23" s="5" t="s">
        <v>65</v>
      </c>
      <c r="U23" s="5" t="s">
        <v>66</v>
      </c>
      <c r="V23" s="5" t="s">
        <v>212</v>
      </c>
      <c r="W23" s="5" t="s">
        <v>213</v>
      </c>
      <c r="X23" s="5" t="s">
        <v>207</v>
      </c>
      <c r="Y23" s="5" t="s">
        <v>214</v>
      </c>
      <c r="Z23" s="5" t="s">
        <v>71</v>
      </c>
      <c r="AA23" s="5" t="s">
        <v>87</v>
      </c>
      <c r="AB23" s="5" t="s">
        <v>88</v>
      </c>
      <c r="AC23" s="5" t="s">
        <v>89</v>
      </c>
      <c r="AD23" s="5" t="s">
        <v>75</v>
      </c>
      <c r="AE23" s="5" t="s">
        <v>117</v>
      </c>
      <c r="AF23" s="6">
        <v>4326</v>
      </c>
      <c r="AG23" s="7">
        <v>1</v>
      </c>
      <c r="AH23" s="6">
        <v>4326</v>
      </c>
      <c r="AI23" s="5" t="s">
        <v>118</v>
      </c>
      <c r="AJ23" s="10">
        <v>46001</v>
      </c>
      <c r="AK23" s="5" t="s">
        <v>215</v>
      </c>
      <c r="AL23" s="5" t="s">
        <v>79</v>
      </c>
      <c r="AM23" s="5">
        <v>1619409</v>
      </c>
      <c r="AN23" s="5" t="s">
        <v>80</v>
      </c>
      <c r="AO23" s="5">
        <v>1094010</v>
      </c>
      <c r="AP23" s="5" t="s">
        <v>81</v>
      </c>
      <c r="AQ23" s="5" t="s">
        <v>64</v>
      </c>
      <c r="AR23" s="5" t="s">
        <v>207</v>
      </c>
      <c r="AS23" s="5"/>
      <c r="AT23" s="5"/>
      <c r="AU23" s="5"/>
      <c r="AV23" s="5"/>
      <c r="AW23" s="8"/>
      <c r="AX23" t="s">
        <v>1135</v>
      </c>
      <c r="AY23" t="s">
        <v>2152</v>
      </c>
    </row>
    <row r="24" spans="1:51" x14ac:dyDescent="0.35">
      <c r="A24" s="4" t="s">
        <v>48</v>
      </c>
      <c r="B24" s="5" t="s">
        <v>48</v>
      </c>
      <c r="C24" s="5" t="s">
        <v>210</v>
      </c>
      <c r="D24" s="5" t="s">
        <v>50</v>
      </c>
      <c r="E24" s="5" t="s">
        <v>51</v>
      </c>
      <c r="F24" s="5" t="s">
        <v>173</v>
      </c>
      <c r="G24" s="5" t="s">
        <v>53</v>
      </c>
      <c r="H24" s="5" t="s">
        <v>54</v>
      </c>
      <c r="I24" s="5" t="s">
        <v>211</v>
      </c>
      <c r="J24" s="5" t="s">
        <v>56</v>
      </c>
      <c r="K24" s="5" t="s">
        <v>57</v>
      </c>
      <c r="L24" s="5" t="s">
        <v>58</v>
      </c>
      <c r="M24" s="5" t="s">
        <v>59</v>
      </c>
      <c r="N24" s="5" t="s">
        <v>60</v>
      </c>
      <c r="O24" s="5" t="s">
        <v>60</v>
      </c>
      <c r="P24" s="5" t="s">
        <v>61</v>
      </c>
      <c r="Q24" s="5" t="s">
        <v>62</v>
      </c>
      <c r="R24" s="5" t="s">
        <v>63</v>
      </c>
      <c r="S24" s="5" t="s">
        <v>64</v>
      </c>
      <c r="T24" s="5" t="s">
        <v>65</v>
      </c>
      <c r="U24" s="5" t="s">
        <v>66</v>
      </c>
      <c r="V24" s="5" t="s">
        <v>216</v>
      </c>
      <c r="W24" s="5" t="s">
        <v>217</v>
      </c>
      <c r="X24" s="5" t="s">
        <v>218</v>
      </c>
      <c r="Y24" s="5" t="s">
        <v>219</v>
      </c>
      <c r="Z24" s="5" t="s">
        <v>71</v>
      </c>
      <c r="AA24" s="5" t="s">
        <v>87</v>
      </c>
      <c r="AB24" s="5" t="s">
        <v>88</v>
      </c>
      <c r="AC24" s="5" t="s">
        <v>89</v>
      </c>
      <c r="AD24" s="5" t="s">
        <v>75</v>
      </c>
      <c r="AE24" s="5" t="s">
        <v>124</v>
      </c>
      <c r="AF24" s="6">
        <v>4326</v>
      </c>
      <c r="AG24" s="7">
        <v>1</v>
      </c>
      <c r="AH24" s="6">
        <v>4326</v>
      </c>
      <c r="AI24" s="5" t="s">
        <v>118</v>
      </c>
      <c r="AJ24" s="10">
        <v>46001</v>
      </c>
      <c r="AK24" s="5" t="s">
        <v>215</v>
      </c>
      <c r="AL24" s="5" t="s">
        <v>79</v>
      </c>
      <c r="AM24" s="5">
        <v>1619409</v>
      </c>
      <c r="AN24" s="5" t="s">
        <v>80</v>
      </c>
      <c r="AO24" s="5">
        <v>1094010</v>
      </c>
      <c r="AP24" s="5" t="s">
        <v>81</v>
      </c>
      <c r="AQ24" s="5" t="s">
        <v>64</v>
      </c>
      <c r="AR24" s="5" t="s">
        <v>218</v>
      </c>
      <c r="AS24" s="5"/>
      <c r="AT24" s="5"/>
      <c r="AU24" s="5"/>
      <c r="AV24" s="5"/>
      <c r="AW24" s="8"/>
      <c r="AX24" t="s">
        <v>1135</v>
      </c>
      <c r="AY24" t="s">
        <v>2152</v>
      </c>
    </row>
    <row r="25" spans="1:51" x14ac:dyDescent="0.35">
      <c r="A25" s="4" t="s">
        <v>48</v>
      </c>
      <c r="B25" s="5" t="s">
        <v>48</v>
      </c>
      <c r="C25" s="5" t="s">
        <v>210</v>
      </c>
      <c r="D25" s="5" t="s">
        <v>50</v>
      </c>
      <c r="E25" s="5" t="s">
        <v>51</v>
      </c>
      <c r="F25" s="5" t="s">
        <v>173</v>
      </c>
      <c r="G25" s="5" t="s">
        <v>53</v>
      </c>
      <c r="H25" s="5" t="s">
        <v>54</v>
      </c>
      <c r="I25" s="5" t="s">
        <v>211</v>
      </c>
      <c r="J25" s="5" t="s">
        <v>56</v>
      </c>
      <c r="K25" s="5" t="s">
        <v>57</v>
      </c>
      <c r="L25" s="5" t="s">
        <v>58</v>
      </c>
      <c r="M25" s="5" t="s">
        <v>59</v>
      </c>
      <c r="N25" s="5" t="s">
        <v>60</v>
      </c>
      <c r="O25" s="5" t="s">
        <v>60</v>
      </c>
      <c r="P25" s="5" t="s">
        <v>61</v>
      </c>
      <c r="Q25" s="5" t="s">
        <v>62</v>
      </c>
      <c r="R25" s="5" t="s">
        <v>63</v>
      </c>
      <c r="S25" s="5" t="s">
        <v>64</v>
      </c>
      <c r="T25" s="5" t="s">
        <v>65</v>
      </c>
      <c r="U25" s="5" t="s">
        <v>66</v>
      </c>
      <c r="V25" s="5" t="s">
        <v>220</v>
      </c>
      <c r="W25" s="5" t="s">
        <v>221</v>
      </c>
      <c r="X25" s="5" t="s">
        <v>207</v>
      </c>
      <c r="Y25" s="5" t="s">
        <v>222</v>
      </c>
      <c r="Z25" s="5" t="s">
        <v>71</v>
      </c>
      <c r="AA25" s="5" t="s">
        <v>72</v>
      </c>
      <c r="AB25" s="5" t="s">
        <v>73</v>
      </c>
      <c r="AC25" s="5" t="s">
        <v>74</v>
      </c>
      <c r="AD25" s="5" t="s">
        <v>75</v>
      </c>
      <c r="AE25" s="5" t="s">
        <v>223</v>
      </c>
      <c r="AF25" s="6">
        <v>35203</v>
      </c>
      <c r="AG25" s="7">
        <v>1</v>
      </c>
      <c r="AH25" s="6">
        <v>35203</v>
      </c>
      <c r="AI25" s="5" t="s">
        <v>224</v>
      </c>
      <c r="AJ25" s="10">
        <v>46001</v>
      </c>
      <c r="AK25" s="5" t="s">
        <v>215</v>
      </c>
      <c r="AL25" s="5" t="s">
        <v>79</v>
      </c>
      <c r="AM25" s="5">
        <v>1619409</v>
      </c>
      <c r="AN25" s="5" t="s">
        <v>80</v>
      </c>
      <c r="AO25" s="5">
        <v>1094010</v>
      </c>
      <c r="AP25" s="5" t="s">
        <v>81</v>
      </c>
      <c r="AQ25" s="5" t="s">
        <v>64</v>
      </c>
      <c r="AR25" s="5" t="s">
        <v>207</v>
      </c>
      <c r="AS25" s="5"/>
      <c r="AT25" s="5"/>
      <c r="AU25" s="5"/>
      <c r="AV25" s="5"/>
      <c r="AW25" s="8"/>
      <c r="AX25" t="s">
        <v>1135</v>
      </c>
      <c r="AY25" t="s">
        <v>2152</v>
      </c>
    </row>
    <row r="26" spans="1:51" x14ac:dyDescent="0.35">
      <c r="A26" s="4" t="s">
        <v>48</v>
      </c>
      <c r="B26" s="5" t="s">
        <v>48</v>
      </c>
      <c r="C26" s="5" t="s">
        <v>210</v>
      </c>
      <c r="D26" s="5" t="s">
        <v>50</v>
      </c>
      <c r="E26" s="5" t="s">
        <v>51</v>
      </c>
      <c r="F26" s="5" t="s">
        <v>173</v>
      </c>
      <c r="G26" s="5" t="s">
        <v>53</v>
      </c>
      <c r="H26" s="5" t="s">
        <v>54</v>
      </c>
      <c r="I26" s="5" t="s">
        <v>211</v>
      </c>
      <c r="J26" s="5" t="s">
        <v>56</v>
      </c>
      <c r="K26" s="5" t="s">
        <v>57</v>
      </c>
      <c r="L26" s="5" t="s">
        <v>58</v>
      </c>
      <c r="M26" s="5" t="s">
        <v>59</v>
      </c>
      <c r="N26" s="5" t="s">
        <v>60</v>
      </c>
      <c r="O26" s="5" t="s">
        <v>60</v>
      </c>
      <c r="P26" s="5" t="s">
        <v>61</v>
      </c>
      <c r="Q26" s="5" t="s">
        <v>62</v>
      </c>
      <c r="R26" s="5" t="s">
        <v>63</v>
      </c>
      <c r="S26" s="5" t="s">
        <v>64</v>
      </c>
      <c r="T26" s="5" t="s">
        <v>65</v>
      </c>
      <c r="U26" s="5" t="s">
        <v>66</v>
      </c>
      <c r="V26" s="5" t="s">
        <v>225</v>
      </c>
      <c r="W26" s="5" t="s">
        <v>226</v>
      </c>
      <c r="X26" s="5" t="s">
        <v>199</v>
      </c>
      <c r="Y26" s="5" t="s">
        <v>227</v>
      </c>
      <c r="Z26" s="5" t="s">
        <v>71</v>
      </c>
      <c r="AA26" s="5" t="s">
        <v>72</v>
      </c>
      <c r="AB26" s="5" t="s">
        <v>73</v>
      </c>
      <c r="AC26" s="5" t="s">
        <v>228</v>
      </c>
      <c r="AD26" s="5" t="s">
        <v>75</v>
      </c>
      <c r="AE26" s="5" t="s">
        <v>229</v>
      </c>
      <c r="AF26" s="6">
        <v>35203.86</v>
      </c>
      <c r="AG26" s="7">
        <v>1</v>
      </c>
      <c r="AH26" s="6">
        <v>35203.86</v>
      </c>
      <c r="AI26" s="5" t="s">
        <v>230</v>
      </c>
      <c r="AJ26" s="10">
        <v>46001</v>
      </c>
      <c r="AK26" s="5" t="s">
        <v>215</v>
      </c>
      <c r="AL26" s="5" t="s">
        <v>79</v>
      </c>
      <c r="AM26" s="5">
        <v>1619409</v>
      </c>
      <c r="AN26" s="5" t="s">
        <v>80</v>
      </c>
      <c r="AO26" s="5">
        <v>1094010</v>
      </c>
      <c r="AP26" s="5" t="s">
        <v>81</v>
      </c>
      <c r="AQ26" s="5" t="s">
        <v>64</v>
      </c>
      <c r="AR26" s="5" t="s">
        <v>199</v>
      </c>
      <c r="AS26" s="5"/>
      <c r="AT26" s="5"/>
      <c r="AU26" s="5"/>
      <c r="AV26" s="5"/>
      <c r="AW26" s="8"/>
      <c r="AX26" t="s">
        <v>1135</v>
      </c>
      <c r="AY26" t="s">
        <v>2152</v>
      </c>
    </row>
    <row r="27" spans="1:51" x14ac:dyDescent="0.35">
      <c r="A27" s="4" t="s">
        <v>48</v>
      </c>
      <c r="B27" s="5" t="s">
        <v>48</v>
      </c>
      <c r="C27" s="5" t="s">
        <v>210</v>
      </c>
      <c r="D27" s="5" t="s">
        <v>50</v>
      </c>
      <c r="E27" s="5" t="s">
        <v>51</v>
      </c>
      <c r="F27" s="5" t="s">
        <v>173</v>
      </c>
      <c r="G27" s="5" t="s">
        <v>53</v>
      </c>
      <c r="H27" s="5" t="s">
        <v>54</v>
      </c>
      <c r="I27" s="5" t="s">
        <v>231</v>
      </c>
      <c r="J27" s="5" t="s">
        <v>56</v>
      </c>
      <c r="K27" s="5" t="s">
        <v>57</v>
      </c>
      <c r="L27" s="5" t="s">
        <v>58</v>
      </c>
      <c r="M27" s="5" t="s">
        <v>59</v>
      </c>
      <c r="N27" s="5" t="s">
        <v>60</v>
      </c>
      <c r="O27" s="5" t="s">
        <v>60</v>
      </c>
      <c r="P27" s="5" t="s">
        <v>61</v>
      </c>
      <c r="Q27" s="5" t="s">
        <v>62</v>
      </c>
      <c r="R27" s="5" t="s">
        <v>63</v>
      </c>
      <c r="S27" s="5" t="s">
        <v>64</v>
      </c>
      <c r="T27" s="5" t="s">
        <v>65</v>
      </c>
      <c r="U27" s="5" t="s">
        <v>66</v>
      </c>
      <c r="V27" s="5" t="s">
        <v>121</v>
      </c>
      <c r="W27" s="5" t="s">
        <v>122</v>
      </c>
      <c r="X27" s="5" t="s">
        <v>95</v>
      </c>
      <c r="Y27" s="5" t="s">
        <v>123</v>
      </c>
      <c r="Z27" s="5" t="s">
        <v>71</v>
      </c>
      <c r="AA27" s="5" t="s">
        <v>87</v>
      </c>
      <c r="AB27" s="5" t="s">
        <v>88</v>
      </c>
      <c r="AC27" s="5" t="s">
        <v>89</v>
      </c>
      <c r="AD27" s="5" t="s">
        <v>75</v>
      </c>
      <c r="AE27" s="5" t="s">
        <v>124</v>
      </c>
      <c r="AF27" s="6">
        <v>4326</v>
      </c>
      <c r="AG27" s="7">
        <v>1</v>
      </c>
      <c r="AH27" s="6">
        <v>4326</v>
      </c>
      <c r="AI27" s="5" t="s">
        <v>118</v>
      </c>
      <c r="AJ27" s="10">
        <v>46001</v>
      </c>
      <c r="AK27" s="5" t="s">
        <v>232</v>
      </c>
      <c r="AL27" s="5" t="s">
        <v>79</v>
      </c>
      <c r="AM27" s="5">
        <v>1619409</v>
      </c>
      <c r="AN27" s="5" t="s">
        <v>80</v>
      </c>
      <c r="AO27" s="5">
        <v>1094010</v>
      </c>
      <c r="AP27" s="5" t="s">
        <v>81</v>
      </c>
      <c r="AQ27" s="5" t="s">
        <v>64</v>
      </c>
      <c r="AR27" s="5" t="s">
        <v>95</v>
      </c>
      <c r="AS27" s="5"/>
      <c r="AT27" s="5"/>
      <c r="AU27" s="5"/>
      <c r="AV27" s="5"/>
      <c r="AW27" s="8"/>
      <c r="AX27" t="s">
        <v>1135</v>
      </c>
      <c r="AY27" t="s">
        <v>2152</v>
      </c>
    </row>
    <row r="28" spans="1:51" x14ac:dyDescent="0.35">
      <c r="A28" s="4" t="s">
        <v>48</v>
      </c>
      <c r="B28" s="5" t="s">
        <v>48</v>
      </c>
      <c r="C28" s="5" t="s">
        <v>233</v>
      </c>
      <c r="D28" s="5" t="s">
        <v>50</v>
      </c>
      <c r="E28" s="5" t="s">
        <v>51</v>
      </c>
      <c r="F28" s="5" t="s">
        <v>234</v>
      </c>
      <c r="G28" s="5" t="s">
        <v>53</v>
      </c>
      <c r="H28" s="5" t="s">
        <v>54</v>
      </c>
      <c r="I28" s="5" t="s">
        <v>235</v>
      </c>
      <c r="J28" s="5" t="s">
        <v>56</v>
      </c>
      <c r="K28" s="5" t="s">
        <v>57</v>
      </c>
      <c r="L28" s="5" t="s">
        <v>58</v>
      </c>
      <c r="M28" s="5" t="s">
        <v>59</v>
      </c>
      <c r="N28" s="5" t="s">
        <v>60</v>
      </c>
      <c r="O28" s="5" t="s">
        <v>60</v>
      </c>
      <c r="P28" s="5" t="s">
        <v>61</v>
      </c>
      <c r="Q28" s="5" t="s">
        <v>62</v>
      </c>
      <c r="R28" s="5" t="s">
        <v>63</v>
      </c>
      <c r="S28" s="5" t="s">
        <v>64</v>
      </c>
      <c r="T28" s="5" t="s">
        <v>65</v>
      </c>
      <c r="U28" s="5" t="s">
        <v>66</v>
      </c>
      <c r="V28" s="5" t="s">
        <v>166</v>
      </c>
      <c r="W28" s="5" t="s">
        <v>192</v>
      </c>
      <c r="X28" s="5" t="s">
        <v>168</v>
      </c>
      <c r="Y28" s="5" t="s">
        <v>169</v>
      </c>
      <c r="Z28" s="5" t="s">
        <v>71</v>
      </c>
      <c r="AA28" s="5" t="s">
        <v>87</v>
      </c>
      <c r="AB28" s="5" t="s">
        <v>104</v>
      </c>
      <c r="AC28" s="5" t="s">
        <v>105</v>
      </c>
      <c r="AD28" s="5" t="s">
        <v>75</v>
      </c>
      <c r="AE28" s="5" t="s">
        <v>170</v>
      </c>
      <c r="AF28" s="6">
        <v>2920</v>
      </c>
      <c r="AG28" s="7">
        <v>1</v>
      </c>
      <c r="AH28" s="6">
        <v>2920</v>
      </c>
      <c r="AI28" s="5" t="s">
        <v>193</v>
      </c>
      <c r="AJ28" s="10">
        <v>46004</v>
      </c>
      <c r="AK28" s="5" t="s">
        <v>236</v>
      </c>
      <c r="AL28" s="5" t="s">
        <v>79</v>
      </c>
      <c r="AM28" s="5">
        <v>1619409</v>
      </c>
      <c r="AN28" s="5" t="s">
        <v>80</v>
      </c>
      <c r="AO28" s="5">
        <v>1094010</v>
      </c>
      <c r="AP28" s="5" t="s">
        <v>81</v>
      </c>
      <c r="AQ28" s="5" t="s">
        <v>64</v>
      </c>
      <c r="AR28" s="5" t="s">
        <v>168</v>
      </c>
      <c r="AS28" s="5"/>
      <c r="AT28" s="5"/>
      <c r="AU28" s="5"/>
      <c r="AV28" s="5"/>
      <c r="AW28" s="8"/>
      <c r="AX28" t="s">
        <v>1135</v>
      </c>
      <c r="AY28" t="s">
        <v>2152</v>
      </c>
    </row>
    <row r="29" spans="1:51" x14ac:dyDescent="0.35">
      <c r="A29" s="4" t="s">
        <v>48</v>
      </c>
      <c r="B29" s="5" t="s">
        <v>48</v>
      </c>
      <c r="C29" s="5" t="s">
        <v>233</v>
      </c>
      <c r="D29" s="5" t="s">
        <v>50</v>
      </c>
      <c r="E29" s="5" t="s">
        <v>51</v>
      </c>
      <c r="F29" s="5" t="s">
        <v>234</v>
      </c>
      <c r="G29" s="5" t="s">
        <v>53</v>
      </c>
      <c r="H29" s="5" t="s">
        <v>54</v>
      </c>
      <c r="I29" s="5" t="s">
        <v>237</v>
      </c>
      <c r="J29" s="5" t="s">
        <v>56</v>
      </c>
      <c r="K29" s="5" t="s">
        <v>57</v>
      </c>
      <c r="L29" s="5" t="s">
        <v>58</v>
      </c>
      <c r="M29" s="5" t="s">
        <v>59</v>
      </c>
      <c r="N29" s="5" t="s">
        <v>60</v>
      </c>
      <c r="O29" s="5" t="s">
        <v>60</v>
      </c>
      <c r="P29" s="5" t="s">
        <v>61</v>
      </c>
      <c r="Q29" s="5" t="s">
        <v>62</v>
      </c>
      <c r="R29" s="5" t="s">
        <v>63</v>
      </c>
      <c r="S29" s="5" t="s">
        <v>64</v>
      </c>
      <c r="T29" s="5" t="s">
        <v>65</v>
      </c>
      <c r="U29" s="5" t="s">
        <v>66</v>
      </c>
      <c r="V29" s="5" t="s">
        <v>166</v>
      </c>
      <c r="W29" s="5" t="s">
        <v>192</v>
      </c>
      <c r="X29" s="5" t="s">
        <v>168</v>
      </c>
      <c r="Y29" s="5" t="s">
        <v>169</v>
      </c>
      <c r="Z29" s="5" t="s">
        <v>71</v>
      </c>
      <c r="AA29" s="5" t="s">
        <v>87</v>
      </c>
      <c r="AB29" s="5" t="s">
        <v>104</v>
      </c>
      <c r="AC29" s="5" t="s">
        <v>105</v>
      </c>
      <c r="AD29" s="5" t="s">
        <v>75</v>
      </c>
      <c r="AE29" s="5" t="s">
        <v>170</v>
      </c>
      <c r="AF29" s="6">
        <v>2920</v>
      </c>
      <c r="AG29" s="7">
        <v>1</v>
      </c>
      <c r="AH29" s="6">
        <v>2920</v>
      </c>
      <c r="AI29" s="5" t="s">
        <v>193</v>
      </c>
      <c r="AJ29" s="10">
        <v>46004</v>
      </c>
      <c r="AK29" s="5" t="s">
        <v>238</v>
      </c>
      <c r="AL29" s="5" t="s">
        <v>79</v>
      </c>
      <c r="AM29" s="5">
        <v>1619409</v>
      </c>
      <c r="AN29" s="5" t="s">
        <v>80</v>
      </c>
      <c r="AO29" s="5">
        <v>1094010</v>
      </c>
      <c r="AP29" s="5" t="s">
        <v>81</v>
      </c>
      <c r="AQ29" s="5" t="s">
        <v>64</v>
      </c>
      <c r="AR29" s="5" t="s">
        <v>168</v>
      </c>
      <c r="AS29" s="5"/>
      <c r="AT29" s="5"/>
      <c r="AU29" s="5"/>
      <c r="AV29" s="5"/>
      <c r="AW29" s="8"/>
      <c r="AX29" t="s">
        <v>1135</v>
      </c>
      <c r="AY29" t="s">
        <v>2152</v>
      </c>
    </row>
    <row r="30" spans="1:51" x14ac:dyDescent="0.35">
      <c r="A30" s="4" t="s">
        <v>48</v>
      </c>
      <c r="B30" s="5" t="s">
        <v>48</v>
      </c>
      <c r="C30" s="5" t="s">
        <v>233</v>
      </c>
      <c r="D30" s="5" t="s">
        <v>50</v>
      </c>
      <c r="E30" s="5" t="s">
        <v>51</v>
      </c>
      <c r="F30" s="5" t="s">
        <v>234</v>
      </c>
      <c r="G30" s="5" t="s">
        <v>53</v>
      </c>
      <c r="H30" s="5" t="s">
        <v>54</v>
      </c>
      <c r="I30" s="5" t="s">
        <v>239</v>
      </c>
      <c r="J30" s="5" t="s">
        <v>56</v>
      </c>
      <c r="K30" s="5" t="s">
        <v>57</v>
      </c>
      <c r="L30" s="5" t="s">
        <v>58</v>
      </c>
      <c r="M30" s="5" t="s">
        <v>59</v>
      </c>
      <c r="N30" s="5" t="s">
        <v>60</v>
      </c>
      <c r="O30" s="5" t="s">
        <v>60</v>
      </c>
      <c r="P30" s="5" t="s">
        <v>61</v>
      </c>
      <c r="Q30" s="5" t="s">
        <v>62</v>
      </c>
      <c r="R30" s="5" t="s">
        <v>63</v>
      </c>
      <c r="S30" s="5" t="s">
        <v>64</v>
      </c>
      <c r="T30" s="5" t="s">
        <v>65</v>
      </c>
      <c r="U30" s="5" t="s">
        <v>66</v>
      </c>
      <c r="V30" s="5" t="s">
        <v>240</v>
      </c>
      <c r="W30" s="5" t="s">
        <v>241</v>
      </c>
      <c r="X30" s="5" t="s">
        <v>129</v>
      </c>
      <c r="Y30" s="5" t="s">
        <v>242</v>
      </c>
      <c r="Z30" s="5" t="s">
        <v>71</v>
      </c>
      <c r="AA30" s="5" t="s">
        <v>87</v>
      </c>
      <c r="AB30" s="5" t="s">
        <v>88</v>
      </c>
      <c r="AC30" s="5" t="s">
        <v>89</v>
      </c>
      <c r="AD30" s="5" t="s">
        <v>75</v>
      </c>
      <c r="AE30" s="5" t="s">
        <v>243</v>
      </c>
      <c r="AF30" s="6">
        <v>4326</v>
      </c>
      <c r="AG30" s="7">
        <v>1</v>
      </c>
      <c r="AH30" s="6">
        <v>4326</v>
      </c>
      <c r="AI30" s="5" t="s">
        <v>149</v>
      </c>
      <c r="AJ30" s="10">
        <v>46004</v>
      </c>
      <c r="AK30" s="5" t="s">
        <v>244</v>
      </c>
      <c r="AL30" s="5" t="s">
        <v>79</v>
      </c>
      <c r="AM30" s="5">
        <v>1619409</v>
      </c>
      <c r="AN30" s="5" t="s">
        <v>80</v>
      </c>
      <c r="AO30" s="5">
        <v>1094010</v>
      </c>
      <c r="AP30" s="5" t="s">
        <v>81</v>
      </c>
      <c r="AQ30" s="5" t="s">
        <v>64</v>
      </c>
      <c r="AR30" s="5" t="s">
        <v>129</v>
      </c>
      <c r="AS30" s="5"/>
      <c r="AT30" s="5"/>
      <c r="AU30" s="5"/>
      <c r="AV30" s="5"/>
      <c r="AW30" s="8"/>
      <c r="AX30" t="s">
        <v>1135</v>
      </c>
      <c r="AY30" t="s">
        <v>2152</v>
      </c>
    </row>
    <row r="31" spans="1:51" x14ac:dyDescent="0.35">
      <c r="A31" s="4" t="s">
        <v>48</v>
      </c>
      <c r="B31" s="5" t="s">
        <v>48</v>
      </c>
      <c r="C31" s="5" t="s">
        <v>233</v>
      </c>
      <c r="D31" s="5" t="s">
        <v>50</v>
      </c>
      <c r="E31" s="5" t="s">
        <v>51</v>
      </c>
      <c r="F31" s="5" t="s">
        <v>234</v>
      </c>
      <c r="G31" s="5" t="s">
        <v>53</v>
      </c>
      <c r="H31" s="5" t="s">
        <v>54</v>
      </c>
      <c r="I31" s="5" t="s">
        <v>245</v>
      </c>
      <c r="J31" s="5" t="s">
        <v>56</v>
      </c>
      <c r="K31" s="5" t="s">
        <v>57</v>
      </c>
      <c r="L31" s="5" t="s">
        <v>58</v>
      </c>
      <c r="M31" s="5" t="s">
        <v>59</v>
      </c>
      <c r="N31" s="5" t="s">
        <v>60</v>
      </c>
      <c r="O31" s="5" t="s">
        <v>60</v>
      </c>
      <c r="P31" s="5" t="s">
        <v>61</v>
      </c>
      <c r="Q31" s="5" t="s">
        <v>62</v>
      </c>
      <c r="R31" s="5" t="s">
        <v>63</v>
      </c>
      <c r="S31" s="5" t="s">
        <v>64</v>
      </c>
      <c r="T31" s="5" t="s">
        <v>65</v>
      </c>
      <c r="U31" s="5" t="s">
        <v>66</v>
      </c>
      <c r="V31" s="5" t="s">
        <v>246</v>
      </c>
      <c r="W31" s="5" t="s">
        <v>247</v>
      </c>
      <c r="X31" s="5" t="s">
        <v>95</v>
      </c>
      <c r="Y31" s="5" t="s">
        <v>248</v>
      </c>
      <c r="Z31" s="5" t="s">
        <v>71</v>
      </c>
      <c r="AA31" s="5" t="s">
        <v>249</v>
      </c>
      <c r="AB31" s="5" t="s">
        <v>250</v>
      </c>
      <c r="AC31" s="5" t="s">
        <v>251</v>
      </c>
      <c r="AD31" s="5" t="s">
        <v>75</v>
      </c>
      <c r="AE31" s="5" t="s">
        <v>252</v>
      </c>
      <c r="AF31" s="6">
        <v>30900</v>
      </c>
      <c r="AG31" s="7">
        <v>1</v>
      </c>
      <c r="AH31" s="6">
        <v>30900</v>
      </c>
      <c r="AI31" s="5" t="s">
        <v>253</v>
      </c>
      <c r="AJ31" s="10">
        <v>46004</v>
      </c>
      <c r="AK31" s="5" t="s">
        <v>254</v>
      </c>
      <c r="AL31" s="5" t="s">
        <v>79</v>
      </c>
      <c r="AM31" s="5">
        <v>1619409</v>
      </c>
      <c r="AN31" s="5" t="s">
        <v>80</v>
      </c>
      <c r="AO31" s="5">
        <v>1094010</v>
      </c>
      <c r="AP31" s="5" t="s">
        <v>81</v>
      </c>
      <c r="AQ31" s="5" t="s">
        <v>64</v>
      </c>
      <c r="AR31" s="5" t="s">
        <v>95</v>
      </c>
      <c r="AS31" s="5"/>
      <c r="AT31" s="5"/>
      <c r="AU31" s="5"/>
      <c r="AV31" s="5"/>
      <c r="AW31" s="8"/>
      <c r="AX31" t="s">
        <v>1135</v>
      </c>
      <c r="AY31" t="s">
        <v>2152</v>
      </c>
    </row>
    <row r="32" spans="1:51" x14ac:dyDescent="0.35">
      <c r="A32" s="4" t="s">
        <v>48</v>
      </c>
      <c r="B32" s="5" t="s">
        <v>48</v>
      </c>
      <c r="C32" s="5" t="s">
        <v>233</v>
      </c>
      <c r="D32" s="5" t="s">
        <v>50</v>
      </c>
      <c r="E32" s="5" t="s">
        <v>51</v>
      </c>
      <c r="F32" s="5" t="s">
        <v>234</v>
      </c>
      <c r="G32" s="5" t="s">
        <v>53</v>
      </c>
      <c r="H32" s="5" t="s">
        <v>54</v>
      </c>
      <c r="I32" s="5" t="s">
        <v>245</v>
      </c>
      <c r="J32" s="5" t="s">
        <v>56</v>
      </c>
      <c r="K32" s="5" t="s">
        <v>57</v>
      </c>
      <c r="L32" s="5" t="s">
        <v>58</v>
      </c>
      <c r="M32" s="5" t="s">
        <v>59</v>
      </c>
      <c r="N32" s="5" t="s">
        <v>60</v>
      </c>
      <c r="O32" s="5" t="s">
        <v>60</v>
      </c>
      <c r="P32" s="5" t="s">
        <v>61</v>
      </c>
      <c r="Q32" s="5" t="s">
        <v>62</v>
      </c>
      <c r="R32" s="5" t="s">
        <v>63</v>
      </c>
      <c r="S32" s="5" t="s">
        <v>64</v>
      </c>
      <c r="T32" s="5" t="s">
        <v>65</v>
      </c>
      <c r="U32" s="5" t="s">
        <v>66</v>
      </c>
      <c r="V32" s="5" t="s">
        <v>255</v>
      </c>
      <c r="W32" s="5" t="s">
        <v>256</v>
      </c>
      <c r="X32" s="5" t="s">
        <v>129</v>
      </c>
      <c r="Y32" s="5" t="s">
        <v>257</v>
      </c>
      <c r="Z32" s="5" t="s">
        <v>71</v>
      </c>
      <c r="AA32" s="5" t="s">
        <v>72</v>
      </c>
      <c r="AB32" s="5" t="s">
        <v>73</v>
      </c>
      <c r="AC32" s="5" t="s">
        <v>74</v>
      </c>
      <c r="AD32" s="5" t="s">
        <v>75</v>
      </c>
      <c r="AE32" s="5" t="s">
        <v>258</v>
      </c>
      <c r="AF32" s="6">
        <v>35818.480000000003</v>
      </c>
      <c r="AG32" s="7">
        <v>1</v>
      </c>
      <c r="AH32" s="6">
        <v>35818.480000000003</v>
      </c>
      <c r="AI32" s="5" t="s">
        <v>134</v>
      </c>
      <c r="AJ32" s="10">
        <v>46004</v>
      </c>
      <c r="AK32" s="5" t="s">
        <v>254</v>
      </c>
      <c r="AL32" s="5" t="s">
        <v>79</v>
      </c>
      <c r="AM32" s="5">
        <v>1619409</v>
      </c>
      <c r="AN32" s="5" t="s">
        <v>80</v>
      </c>
      <c r="AO32" s="5">
        <v>1094010</v>
      </c>
      <c r="AP32" s="5" t="s">
        <v>81</v>
      </c>
      <c r="AQ32" s="5" t="s">
        <v>64</v>
      </c>
      <c r="AR32" s="5" t="s">
        <v>129</v>
      </c>
      <c r="AS32" s="5"/>
      <c r="AT32" s="5"/>
      <c r="AU32" s="5"/>
      <c r="AV32" s="5"/>
      <c r="AW32" s="8"/>
      <c r="AX32" t="s">
        <v>1135</v>
      </c>
      <c r="AY32" t="s">
        <v>2152</v>
      </c>
    </row>
    <row r="33" spans="1:51" x14ac:dyDescent="0.35">
      <c r="A33" s="4" t="s">
        <v>48</v>
      </c>
      <c r="B33" s="5" t="s">
        <v>48</v>
      </c>
      <c r="C33" s="5" t="s">
        <v>233</v>
      </c>
      <c r="D33" s="5" t="s">
        <v>50</v>
      </c>
      <c r="E33" s="5" t="s">
        <v>51</v>
      </c>
      <c r="F33" s="5" t="s">
        <v>234</v>
      </c>
      <c r="G33" s="5" t="s">
        <v>53</v>
      </c>
      <c r="H33" s="5" t="s">
        <v>54</v>
      </c>
      <c r="I33" s="5" t="s">
        <v>259</v>
      </c>
      <c r="J33" s="5" t="s">
        <v>56</v>
      </c>
      <c r="K33" s="5" t="s">
        <v>57</v>
      </c>
      <c r="L33" s="5" t="s">
        <v>58</v>
      </c>
      <c r="M33" s="5" t="s">
        <v>59</v>
      </c>
      <c r="N33" s="5" t="s">
        <v>60</v>
      </c>
      <c r="O33" s="5" t="s">
        <v>60</v>
      </c>
      <c r="P33" s="5" t="s">
        <v>61</v>
      </c>
      <c r="Q33" s="5" t="s">
        <v>62</v>
      </c>
      <c r="R33" s="5" t="s">
        <v>63</v>
      </c>
      <c r="S33" s="5" t="s">
        <v>64</v>
      </c>
      <c r="T33" s="5" t="s">
        <v>65</v>
      </c>
      <c r="U33" s="5" t="s">
        <v>66</v>
      </c>
      <c r="V33" s="5" t="s">
        <v>260</v>
      </c>
      <c r="W33" s="5" t="s">
        <v>261</v>
      </c>
      <c r="X33" s="5" t="s">
        <v>168</v>
      </c>
      <c r="Y33" s="5" t="s">
        <v>262</v>
      </c>
      <c r="Z33" s="5" t="s">
        <v>71</v>
      </c>
      <c r="AA33" s="5" t="s">
        <v>87</v>
      </c>
      <c r="AB33" s="5" t="s">
        <v>104</v>
      </c>
      <c r="AC33" s="5" t="s">
        <v>105</v>
      </c>
      <c r="AD33" s="5" t="s">
        <v>75</v>
      </c>
      <c r="AE33" s="5" t="s">
        <v>263</v>
      </c>
      <c r="AF33" s="6">
        <v>2920</v>
      </c>
      <c r="AG33" s="7">
        <v>1</v>
      </c>
      <c r="AH33" s="6">
        <v>2920</v>
      </c>
      <c r="AI33" s="5" t="s">
        <v>193</v>
      </c>
      <c r="AJ33" s="10">
        <v>46004</v>
      </c>
      <c r="AK33" s="5" t="s">
        <v>264</v>
      </c>
      <c r="AL33" s="5" t="s">
        <v>79</v>
      </c>
      <c r="AM33" s="5">
        <v>1619409</v>
      </c>
      <c r="AN33" s="5" t="s">
        <v>80</v>
      </c>
      <c r="AO33" s="5">
        <v>1094010</v>
      </c>
      <c r="AP33" s="5" t="s">
        <v>81</v>
      </c>
      <c r="AQ33" s="5" t="s">
        <v>64</v>
      </c>
      <c r="AR33" s="5" t="s">
        <v>168</v>
      </c>
      <c r="AS33" s="5"/>
      <c r="AT33" s="5"/>
      <c r="AU33" s="5"/>
      <c r="AV33" s="5"/>
      <c r="AW33" s="8"/>
      <c r="AX33" t="s">
        <v>1135</v>
      </c>
      <c r="AY33" t="s">
        <v>2152</v>
      </c>
    </row>
    <row r="34" spans="1:51" x14ac:dyDescent="0.35">
      <c r="A34" s="4" t="s">
        <v>48</v>
      </c>
      <c r="B34" s="5" t="s">
        <v>48</v>
      </c>
      <c r="C34" s="5" t="s">
        <v>233</v>
      </c>
      <c r="D34" s="5" t="s">
        <v>50</v>
      </c>
      <c r="E34" s="5" t="s">
        <v>51</v>
      </c>
      <c r="F34" s="5" t="s">
        <v>234</v>
      </c>
      <c r="G34" s="5" t="s">
        <v>53</v>
      </c>
      <c r="H34" s="5" t="s">
        <v>54</v>
      </c>
      <c r="I34" s="5" t="s">
        <v>265</v>
      </c>
      <c r="J34" s="5" t="s">
        <v>56</v>
      </c>
      <c r="K34" s="5" t="s">
        <v>57</v>
      </c>
      <c r="L34" s="5" t="s">
        <v>58</v>
      </c>
      <c r="M34" s="5" t="s">
        <v>59</v>
      </c>
      <c r="N34" s="5" t="s">
        <v>60</v>
      </c>
      <c r="O34" s="5" t="s">
        <v>60</v>
      </c>
      <c r="P34" s="5" t="s">
        <v>61</v>
      </c>
      <c r="Q34" s="5" t="s">
        <v>62</v>
      </c>
      <c r="R34" s="5" t="s">
        <v>63</v>
      </c>
      <c r="S34" s="5" t="s">
        <v>64</v>
      </c>
      <c r="T34" s="5" t="s">
        <v>65</v>
      </c>
      <c r="U34" s="5" t="s">
        <v>66</v>
      </c>
      <c r="V34" s="5" t="s">
        <v>166</v>
      </c>
      <c r="W34" s="5" t="s">
        <v>167</v>
      </c>
      <c r="X34" s="5" t="s">
        <v>168</v>
      </c>
      <c r="Y34" s="5" t="s">
        <v>169</v>
      </c>
      <c r="Z34" s="5" t="s">
        <v>71</v>
      </c>
      <c r="AA34" s="5" t="s">
        <v>87</v>
      </c>
      <c r="AB34" s="5" t="s">
        <v>104</v>
      </c>
      <c r="AC34" s="5" t="s">
        <v>105</v>
      </c>
      <c r="AD34" s="5" t="s">
        <v>75</v>
      </c>
      <c r="AE34" s="5" t="s">
        <v>170</v>
      </c>
      <c r="AF34" s="6">
        <v>2920</v>
      </c>
      <c r="AG34" s="7">
        <v>1</v>
      </c>
      <c r="AH34" s="6">
        <v>2920</v>
      </c>
      <c r="AI34" s="5" t="s">
        <v>193</v>
      </c>
      <c r="AJ34" s="10">
        <v>46004</v>
      </c>
      <c r="AK34" s="5" t="s">
        <v>266</v>
      </c>
      <c r="AL34" s="5" t="s">
        <v>79</v>
      </c>
      <c r="AM34" s="5">
        <v>1619409</v>
      </c>
      <c r="AN34" s="5" t="s">
        <v>80</v>
      </c>
      <c r="AO34" s="5">
        <v>1094010</v>
      </c>
      <c r="AP34" s="5" t="s">
        <v>81</v>
      </c>
      <c r="AQ34" s="5" t="s">
        <v>64</v>
      </c>
      <c r="AR34" s="5" t="s">
        <v>168</v>
      </c>
      <c r="AS34" s="5"/>
      <c r="AT34" s="5"/>
      <c r="AU34" s="5"/>
      <c r="AV34" s="5"/>
      <c r="AW34" s="8"/>
      <c r="AX34" t="s">
        <v>1135</v>
      </c>
      <c r="AY34" t="s">
        <v>2152</v>
      </c>
    </row>
    <row r="35" spans="1:51" x14ac:dyDescent="0.35">
      <c r="A35" s="4" t="s">
        <v>48</v>
      </c>
      <c r="B35" s="5" t="s">
        <v>48</v>
      </c>
      <c r="C35" s="5" t="s">
        <v>233</v>
      </c>
      <c r="D35" s="5" t="s">
        <v>50</v>
      </c>
      <c r="E35" s="5" t="s">
        <v>51</v>
      </c>
      <c r="F35" s="5" t="s">
        <v>234</v>
      </c>
      <c r="G35" s="5" t="s">
        <v>53</v>
      </c>
      <c r="H35" s="5" t="s">
        <v>54</v>
      </c>
      <c r="I35" s="5" t="s">
        <v>267</v>
      </c>
      <c r="J35" s="5" t="s">
        <v>56</v>
      </c>
      <c r="K35" s="5" t="s">
        <v>57</v>
      </c>
      <c r="L35" s="5" t="s">
        <v>58</v>
      </c>
      <c r="M35" s="5" t="s">
        <v>59</v>
      </c>
      <c r="N35" s="5" t="s">
        <v>60</v>
      </c>
      <c r="O35" s="5" t="s">
        <v>60</v>
      </c>
      <c r="P35" s="5" t="s">
        <v>61</v>
      </c>
      <c r="Q35" s="5" t="s">
        <v>62</v>
      </c>
      <c r="R35" s="5" t="s">
        <v>63</v>
      </c>
      <c r="S35" s="5" t="s">
        <v>64</v>
      </c>
      <c r="T35" s="5" t="s">
        <v>65</v>
      </c>
      <c r="U35" s="5" t="s">
        <v>66</v>
      </c>
      <c r="V35" s="5" t="s">
        <v>151</v>
      </c>
      <c r="W35" s="5" t="s">
        <v>152</v>
      </c>
      <c r="X35" s="5" t="s">
        <v>95</v>
      </c>
      <c r="Y35" s="5" t="s">
        <v>153</v>
      </c>
      <c r="Z35" s="5" t="s">
        <v>71</v>
      </c>
      <c r="AA35" s="5" t="s">
        <v>87</v>
      </c>
      <c r="AB35" s="5" t="s">
        <v>88</v>
      </c>
      <c r="AC35" s="5" t="s">
        <v>89</v>
      </c>
      <c r="AD35" s="5" t="s">
        <v>75</v>
      </c>
      <c r="AE35" s="5" t="s">
        <v>97</v>
      </c>
      <c r="AF35" s="6">
        <v>4326</v>
      </c>
      <c r="AG35" s="7">
        <v>1</v>
      </c>
      <c r="AH35" s="6">
        <v>4326</v>
      </c>
      <c r="AI35" s="5" t="s">
        <v>118</v>
      </c>
      <c r="AJ35" s="10">
        <v>46004</v>
      </c>
      <c r="AK35" s="5" t="s">
        <v>268</v>
      </c>
      <c r="AL35" s="5" t="s">
        <v>79</v>
      </c>
      <c r="AM35" s="5">
        <v>1619409</v>
      </c>
      <c r="AN35" s="5" t="s">
        <v>80</v>
      </c>
      <c r="AO35" s="5">
        <v>1094010</v>
      </c>
      <c r="AP35" s="5" t="s">
        <v>81</v>
      </c>
      <c r="AQ35" s="5" t="s">
        <v>64</v>
      </c>
      <c r="AR35" s="5" t="s">
        <v>95</v>
      </c>
      <c r="AS35" s="5"/>
      <c r="AT35" s="5"/>
      <c r="AU35" s="5"/>
      <c r="AV35" s="5"/>
      <c r="AW35" s="8"/>
      <c r="AX35" t="s">
        <v>1135</v>
      </c>
      <c r="AY35" t="s">
        <v>2152</v>
      </c>
    </row>
    <row r="36" spans="1:51" x14ac:dyDescent="0.35">
      <c r="A36" s="4" t="s">
        <v>48</v>
      </c>
      <c r="B36" s="5" t="s">
        <v>48</v>
      </c>
      <c r="C36" s="5" t="s">
        <v>52</v>
      </c>
      <c r="D36" s="5" t="s">
        <v>50</v>
      </c>
      <c r="E36" s="5" t="s">
        <v>51</v>
      </c>
      <c r="F36" s="5" t="s">
        <v>234</v>
      </c>
      <c r="G36" s="5" t="s">
        <v>53</v>
      </c>
      <c r="H36" s="5" t="s">
        <v>54</v>
      </c>
      <c r="I36" s="5" t="s">
        <v>269</v>
      </c>
      <c r="J36" s="5" t="s">
        <v>56</v>
      </c>
      <c r="K36" s="5" t="s">
        <v>57</v>
      </c>
      <c r="L36" s="5" t="s">
        <v>58</v>
      </c>
      <c r="M36" s="5" t="s">
        <v>59</v>
      </c>
      <c r="N36" s="5" t="s">
        <v>60</v>
      </c>
      <c r="O36" s="5" t="s">
        <v>60</v>
      </c>
      <c r="P36" s="5" t="s">
        <v>61</v>
      </c>
      <c r="Q36" s="5" t="s">
        <v>62</v>
      </c>
      <c r="R36" s="5" t="s">
        <v>63</v>
      </c>
      <c r="S36" s="5" t="s">
        <v>64</v>
      </c>
      <c r="T36" s="5" t="s">
        <v>65</v>
      </c>
      <c r="U36" s="5" t="s">
        <v>66</v>
      </c>
      <c r="V36" s="5" t="s">
        <v>270</v>
      </c>
      <c r="W36" s="5" t="s">
        <v>271</v>
      </c>
      <c r="X36" s="5" t="s">
        <v>110</v>
      </c>
      <c r="Y36" s="5" t="s">
        <v>272</v>
      </c>
      <c r="Z36" s="5" t="s">
        <v>71</v>
      </c>
      <c r="AA36" s="5" t="s">
        <v>87</v>
      </c>
      <c r="AB36" s="5" t="s">
        <v>88</v>
      </c>
      <c r="AC36" s="5" t="s">
        <v>89</v>
      </c>
      <c r="AD36" s="5" t="s">
        <v>75</v>
      </c>
      <c r="AE36" s="5" t="s">
        <v>90</v>
      </c>
      <c r="AF36" s="6">
        <v>4200</v>
      </c>
      <c r="AG36" s="7">
        <v>1</v>
      </c>
      <c r="AH36" s="6">
        <v>4200</v>
      </c>
      <c r="AI36" s="5" t="s">
        <v>273</v>
      </c>
      <c r="AJ36" s="10">
        <v>46006</v>
      </c>
      <c r="AK36" s="5" t="s">
        <v>274</v>
      </c>
      <c r="AL36" s="5" t="s">
        <v>79</v>
      </c>
      <c r="AM36" s="5">
        <v>1619409</v>
      </c>
      <c r="AN36" s="5" t="s">
        <v>80</v>
      </c>
      <c r="AO36" s="5">
        <v>1094010</v>
      </c>
      <c r="AP36" s="5" t="s">
        <v>81</v>
      </c>
      <c r="AQ36" s="5" t="s">
        <v>64</v>
      </c>
      <c r="AR36" s="5" t="s">
        <v>110</v>
      </c>
      <c r="AS36" s="5"/>
      <c r="AT36" s="5"/>
      <c r="AU36" s="5"/>
      <c r="AV36" s="5"/>
      <c r="AW36" s="8"/>
      <c r="AX36" t="s">
        <v>1135</v>
      </c>
      <c r="AY36" t="s">
        <v>2152</v>
      </c>
    </row>
    <row r="37" spans="1:51" x14ac:dyDescent="0.35">
      <c r="A37" s="4" t="s">
        <v>48</v>
      </c>
      <c r="B37" s="5" t="s">
        <v>48</v>
      </c>
      <c r="C37" s="5" t="s">
        <v>52</v>
      </c>
      <c r="D37" s="5" t="s">
        <v>50</v>
      </c>
      <c r="E37" s="5" t="s">
        <v>51</v>
      </c>
      <c r="F37" s="5" t="s">
        <v>234</v>
      </c>
      <c r="G37" s="5" t="s">
        <v>53</v>
      </c>
      <c r="H37" s="5" t="s">
        <v>54</v>
      </c>
      <c r="I37" s="5" t="s">
        <v>275</v>
      </c>
      <c r="J37" s="5" t="s">
        <v>56</v>
      </c>
      <c r="K37" s="5" t="s">
        <v>57</v>
      </c>
      <c r="L37" s="5" t="s">
        <v>58</v>
      </c>
      <c r="M37" s="5" t="s">
        <v>59</v>
      </c>
      <c r="N37" s="5" t="s">
        <v>60</v>
      </c>
      <c r="O37" s="5" t="s">
        <v>60</v>
      </c>
      <c r="P37" s="5" t="s">
        <v>61</v>
      </c>
      <c r="Q37" s="5" t="s">
        <v>62</v>
      </c>
      <c r="R37" s="5" t="s">
        <v>63</v>
      </c>
      <c r="S37" s="5" t="s">
        <v>64</v>
      </c>
      <c r="T37" s="5" t="s">
        <v>65</v>
      </c>
      <c r="U37" s="5" t="s">
        <v>66</v>
      </c>
      <c r="V37" s="5" t="s">
        <v>166</v>
      </c>
      <c r="W37" s="5" t="s">
        <v>192</v>
      </c>
      <c r="X37" s="5" t="s">
        <v>168</v>
      </c>
      <c r="Y37" s="5" t="s">
        <v>169</v>
      </c>
      <c r="Z37" s="5" t="s">
        <v>71</v>
      </c>
      <c r="AA37" s="5" t="s">
        <v>87</v>
      </c>
      <c r="AB37" s="5" t="s">
        <v>104</v>
      </c>
      <c r="AC37" s="5" t="s">
        <v>105</v>
      </c>
      <c r="AD37" s="5" t="s">
        <v>75</v>
      </c>
      <c r="AE37" s="5" t="s">
        <v>170</v>
      </c>
      <c r="AF37" s="6">
        <v>2920</v>
      </c>
      <c r="AG37" s="7">
        <v>1</v>
      </c>
      <c r="AH37" s="6">
        <v>2920</v>
      </c>
      <c r="AI37" s="5" t="s">
        <v>193</v>
      </c>
      <c r="AJ37" s="10">
        <v>46006</v>
      </c>
      <c r="AK37" s="5" t="s">
        <v>276</v>
      </c>
      <c r="AL37" s="5" t="s">
        <v>79</v>
      </c>
      <c r="AM37" s="5">
        <v>1619409</v>
      </c>
      <c r="AN37" s="5" t="s">
        <v>80</v>
      </c>
      <c r="AO37" s="5">
        <v>1094010</v>
      </c>
      <c r="AP37" s="5" t="s">
        <v>81</v>
      </c>
      <c r="AQ37" s="5" t="s">
        <v>64</v>
      </c>
      <c r="AR37" s="5" t="s">
        <v>168</v>
      </c>
      <c r="AS37" s="5"/>
      <c r="AT37" s="5"/>
      <c r="AU37" s="5"/>
      <c r="AV37" s="5"/>
      <c r="AW37" s="8"/>
      <c r="AX37" t="s">
        <v>1135</v>
      </c>
      <c r="AY37" t="s">
        <v>2152</v>
      </c>
    </row>
    <row r="38" spans="1:51" x14ac:dyDescent="0.35">
      <c r="A38" s="4" t="s">
        <v>48</v>
      </c>
      <c r="B38" s="5" t="s">
        <v>48</v>
      </c>
      <c r="C38" s="5" t="s">
        <v>277</v>
      </c>
      <c r="D38" s="5" t="s">
        <v>50</v>
      </c>
      <c r="E38" s="5" t="s">
        <v>51</v>
      </c>
      <c r="F38" s="5" t="s">
        <v>234</v>
      </c>
      <c r="G38" s="5" t="s">
        <v>53</v>
      </c>
      <c r="H38" s="5" t="s">
        <v>54</v>
      </c>
      <c r="I38" s="5" t="s">
        <v>278</v>
      </c>
      <c r="J38" s="5" t="s">
        <v>56</v>
      </c>
      <c r="K38" s="5" t="s">
        <v>57</v>
      </c>
      <c r="L38" s="5" t="s">
        <v>58</v>
      </c>
      <c r="M38" s="5" t="s">
        <v>59</v>
      </c>
      <c r="N38" s="5" t="s">
        <v>60</v>
      </c>
      <c r="O38" s="5" t="s">
        <v>60</v>
      </c>
      <c r="P38" s="5" t="s">
        <v>61</v>
      </c>
      <c r="Q38" s="5" t="s">
        <v>62</v>
      </c>
      <c r="R38" s="5" t="s">
        <v>63</v>
      </c>
      <c r="S38" s="5" t="s">
        <v>64</v>
      </c>
      <c r="T38" s="5" t="s">
        <v>65</v>
      </c>
      <c r="U38" s="5" t="s">
        <v>66</v>
      </c>
      <c r="V38" s="5" t="s">
        <v>166</v>
      </c>
      <c r="W38" s="5" t="s">
        <v>279</v>
      </c>
      <c r="X38" s="5" t="s">
        <v>168</v>
      </c>
      <c r="Y38" s="5" t="s">
        <v>169</v>
      </c>
      <c r="Z38" s="5" t="s">
        <v>71</v>
      </c>
      <c r="AA38" s="5" t="s">
        <v>87</v>
      </c>
      <c r="AB38" s="5" t="s">
        <v>104</v>
      </c>
      <c r="AC38" s="5" t="s">
        <v>105</v>
      </c>
      <c r="AD38" s="5" t="s">
        <v>75</v>
      </c>
      <c r="AE38" s="5" t="s">
        <v>170</v>
      </c>
      <c r="AF38" s="6">
        <v>2920</v>
      </c>
      <c r="AG38" s="7">
        <v>1</v>
      </c>
      <c r="AH38" s="6">
        <v>2920</v>
      </c>
      <c r="AI38" s="5" t="s">
        <v>280</v>
      </c>
      <c r="AJ38" s="10">
        <v>46007</v>
      </c>
      <c r="AK38" s="5" t="s">
        <v>281</v>
      </c>
      <c r="AL38" s="5" t="s">
        <v>79</v>
      </c>
      <c r="AM38" s="5">
        <v>1619409</v>
      </c>
      <c r="AN38" s="5" t="s">
        <v>80</v>
      </c>
      <c r="AO38" s="5">
        <v>1094010</v>
      </c>
      <c r="AP38" s="5" t="s">
        <v>81</v>
      </c>
      <c r="AQ38" s="5" t="s">
        <v>64</v>
      </c>
      <c r="AR38" s="5" t="s">
        <v>168</v>
      </c>
      <c r="AS38" s="5"/>
      <c r="AT38" s="5"/>
      <c r="AU38" s="5"/>
      <c r="AV38" s="5"/>
      <c r="AW38" s="8"/>
      <c r="AX38" t="s">
        <v>1135</v>
      </c>
      <c r="AY38" t="s">
        <v>2152</v>
      </c>
    </row>
    <row r="39" spans="1:51" x14ac:dyDescent="0.35">
      <c r="A39" s="4" t="s">
        <v>48</v>
      </c>
      <c r="B39" s="5" t="s">
        <v>48</v>
      </c>
      <c r="C39" s="5" t="s">
        <v>277</v>
      </c>
      <c r="D39" s="5" t="s">
        <v>50</v>
      </c>
      <c r="E39" s="5" t="s">
        <v>51</v>
      </c>
      <c r="F39" s="5" t="s">
        <v>173</v>
      </c>
      <c r="G39" s="5" t="s">
        <v>174</v>
      </c>
      <c r="H39" s="5" t="s">
        <v>54</v>
      </c>
      <c r="I39" s="5" t="s">
        <v>282</v>
      </c>
      <c r="J39" s="5" t="s">
        <v>176</v>
      </c>
      <c r="K39" s="5" t="s">
        <v>177</v>
      </c>
      <c r="L39" s="5" t="s">
        <v>58</v>
      </c>
      <c r="M39" s="5" t="s">
        <v>178</v>
      </c>
      <c r="N39" s="5" t="s">
        <v>60</v>
      </c>
      <c r="O39" s="5" t="s">
        <v>60</v>
      </c>
      <c r="P39" s="5" t="s">
        <v>61</v>
      </c>
      <c r="Q39" s="5" t="s">
        <v>62</v>
      </c>
      <c r="R39" s="5" t="s">
        <v>63</v>
      </c>
      <c r="S39" s="5" t="s">
        <v>64</v>
      </c>
      <c r="T39" s="5" t="s">
        <v>65</v>
      </c>
      <c r="U39" s="5" t="s">
        <v>66</v>
      </c>
      <c r="V39" s="5" t="s">
        <v>283</v>
      </c>
      <c r="W39" s="5" t="s">
        <v>284</v>
      </c>
      <c r="X39" s="5" t="s">
        <v>162</v>
      </c>
      <c r="Y39" s="5" t="s">
        <v>285</v>
      </c>
      <c r="Z39" s="5" t="s">
        <v>174</v>
      </c>
      <c r="AA39" s="5" t="s">
        <v>182</v>
      </c>
      <c r="AB39" s="5" t="s">
        <v>183</v>
      </c>
      <c r="AC39" s="5" t="s">
        <v>286</v>
      </c>
      <c r="AD39" s="5" t="s">
        <v>75</v>
      </c>
      <c r="AE39" s="5" t="s">
        <v>287</v>
      </c>
      <c r="AF39" s="6">
        <v>5583</v>
      </c>
      <c r="AG39" s="7">
        <v>1</v>
      </c>
      <c r="AH39" s="6">
        <v>5583</v>
      </c>
      <c r="AI39" s="5" t="s">
        <v>288</v>
      </c>
      <c r="AJ39" s="10">
        <v>46007</v>
      </c>
      <c r="AK39" s="5" t="s">
        <v>289</v>
      </c>
      <c r="AL39" s="5" t="s">
        <v>188</v>
      </c>
      <c r="AM39" s="5">
        <v>2331362</v>
      </c>
      <c r="AN39" s="5" t="s">
        <v>189</v>
      </c>
      <c r="AO39" s="5">
        <v>1594456</v>
      </c>
      <c r="AP39" s="5" t="s">
        <v>81</v>
      </c>
      <c r="AQ39" s="5" t="s">
        <v>64</v>
      </c>
      <c r="AR39" s="5" t="s">
        <v>162</v>
      </c>
      <c r="AS39" s="5"/>
      <c r="AT39" s="5"/>
      <c r="AU39" s="5"/>
      <c r="AV39" s="5"/>
      <c r="AW39" s="8"/>
      <c r="AX39" t="s">
        <v>1135</v>
      </c>
      <c r="AY39" t="s">
        <v>2191</v>
      </c>
    </row>
    <row r="40" spans="1:51" x14ac:dyDescent="0.35">
      <c r="A40" s="4" t="s">
        <v>48</v>
      </c>
      <c r="B40" s="5" t="s">
        <v>48</v>
      </c>
      <c r="C40" s="5" t="s">
        <v>277</v>
      </c>
      <c r="D40" s="5" t="s">
        <v>50</v>
      </c>
      <c r="E40" s="5" t="s">
        <v>51</v>
      </c>
      <c r="F40" s="5" t="s">
        <v>173</v>
      </c>
      <c r="G40" s="5" t="s">
        <v>174</v>
      </c>
      <c r="H40" s="5" t="s">
        <v>54</v>
      </c>
      <c r="I40" s="5" t="s">
        <v>282</v>
      </c>
      <c r="J40" s="5" t="s">
        <v>176</v>
      </c>
      <c r="K40" s="5" t="s">
        <v>177</v>
      </c>
      <c r="L40" s="5" t="s">
        <v>58</v>
      </c>
      <c r="M40" s="5" t="s">
        <v>178</v>
      </c>
      <c r="N40" s="5" t="s">
        <v>60</v>
      </c>
      <c r="O40" s="5" t="s">
        <v>60</v>
      </c>
      <c r="P40" s="5" t="s">
        <v>61</v>
      </c>
      <c r="Q40" s="5" t="s">
        <v>62</v>
      </c>
      <c r="R40" s="5" t="s">
        <v>63</v>
      </c>
      <c r="S40" s="5" t="s">
        <v>64</v>
      </c>
      <c r="T40" s="5" t="s">
        <v>65</v>
      </c>
      <c r="U40" s="5" t="s">
        <v>66</v>
      </c>
      <c r="V40" s="5" t="s">
        <v>290</v>
      </c>
      <c r="W40" s="5" t="s">
        <v>291</v>
      </c>
      <c r="X40" s="5" t="s">
        <v>162</v>
      </c>
      <c r="Y40" s="5" t="s">
        <v>292</v>
      </c>
      <c r="Z40" s="5" t="s">
        <v>174</v>
      </c>
      <c r="AA40" s="5" t="s">
        <v>182</v>
      </c>
      <c r="AB40" s="5" t="s">
        <v>183</v>
      </c>
      <c r="AC40" s="5" t="s">
        <v>286</v>
      </c>
      <c r="AD40" s="5" t="s">
        <v>75</v>
      </c>
      <c r="AE40" s="5" t="s">
        <v>287</v>
      </c>
      <c r="AF40" s="6">
        <v>5583</v>
      </c>
      <c r="AG40" s="7">
        <v>1</v>
      </c>
      <c r="AH40" s="6">
        <v>5583</v>
      </c>
      <c r="AI40" s="5" t="s">
        <v>293</v>
      </c>
      <c r="AJ40" s="10">
        <v>46007</v>
      </c>
      <c r="AK40" s="5" t="s">
        <v>289</v>
      </c>
      <c r="AL40" s="5" t="s">
        <v>188</v>
      </c>
      <c r="AM40" s="5">
        <v>2331362</v>
      </c>
      <c r="AN40" s="5" t="s">
        <v>189</v>
      </c>
      <c r="AO40" s="5">
        <v>1594456</v>
      </c>
      <c r="AP40" s="5" t="s">
        <v>81</v>
      </c>
      <c r="AQ40" s="5" t="s">
        <v>64</v>
      </c>
      <c r="AR40" s="5" t="s">
        <v>162</v>
      </c>
      <c r="AS40" s="5"/>
      <c r="AT40" s="5"/>
      <c r="AU40" s="5"/>
      <c r="AV40" s="5"/>
      <c r="AW40" s="8"/>
      <c r="AX40" t="s">
        <v>1135</v>
      </c>
      <c r="AY40" t="s">
        <v>2191</v>
      </c>
    </row>
    <row r="41" spans="1:51" x14ac:dyDescent="0.35">
      <c r="A41" s="4" t="s">
        <v>48</v>
      </c>
      <c r="B41" s="5" t="s">
        <v>48</v>
      </c>
      <c r="C41" s="5" t="s">
        <v>294</v>
      </c>
      <c r="D41" s="5" t="s">
        <v>50</v>
      </c>
      <c r="E41" s="5" t="s">
        <v>51</v>
      </c>
      <c r="F41" s="5" t="s">
        <v>234</v>
      </c>
      <c r="G41" s="5" t="s">
        <v>53</v>
      </c>
      <c r="H41" s="5" t="s">
        <v>54</v>
      </c>
      <c r="I41" s="5" t="s">
        <v>295</v>
      </c>
      <c r="J41" s="5" t="s">
        <v>56</v>
      </c>
      <c r="K41" s="5" t="s">
        <v>57</v>
      </c>
      <c r="L41" s="5" t="s">
        <v>58</v>
      </c>
      <c r="M41" s="5" t="s">
        <v>59</v>
      </c>
      <c r="N41" s="5" t="s">
        <v>60</v>
      </c>
      <c r="O41" s="5" t="s">
        <v>60</v>
      </c>
      <c r="P41" s="5" t="s">
        <v>61</v>
      </c>
      <c r="Q41" s="5" t="s">
        <v>62</v>
      </c>
      <c r="R41" s="5" t="s">
        <v>63</v>
      </c>
      <c r="S41" s="5" t="s">
        <v>64</v>
      </c>
      <c r="T41" s="5" t="s">
        <v>65</v>
      </c>
      <c r="U41" s="5" t="s">
        <v>66</v>
      </c>
      <c r="V41" s="5" t="s">
        <v>260</v>
      </c>
      <c r="W41" s="5" t="s">
        <v>261</v>
      </c>
      <c r="X41" s="5" t="s">
        <v>168</v>
      </c>
      <c r="Y41" s="5" t="s">
        <v>262</v>
      </c>
      <c r="Z41" s="5" t="s">
        <v>71</v>
      </c>
      <c r="AA41" s="5" t="s">
        <v>87</v>
      </c>
      <c r="AB41" s="5" t="s">
        <v>104</v>
      </c>
      <c r="AC41" s="5" t="s">
        <v>105</v>
      </c>
      <c r="AD41" s="5" t="s">
        <v>75</v>
      </c>
      <c r="AE41" s="5" t="s">
        <v>263</v>
      </c>
      <c r="AF41" s="6">
        <v>2920</v>
      </c>
      <c r="AG41" s="7">
        <v>1</v>
      </c>
      <c r="AH41" s="6">
        <v>2920</v>
      </c>
      <c r="AI41" s="5" t="s">
        <v>193</v>
      </c>
      <c r="AJ41" s="10">
        <v>46008</v>
      </c>
      <c r="AK41" s="5" t="s">
        <v>296</v>
      </c>
      <c r="AL41" s="5" t="s">
        <v>79</v>
      </c>
      <c r="AM41" s="5">
        <v>1619409</v>
      </c>
      <c r="AN41" s="5" t="s">
        <v>80</v>
      </c>
      <c r="AO41" s="5">
        <v>1094010</v>
      </c>
      <c r="AP41" s="5" t="s">
        <v>81</v>
      </c>
      <c r="AQ41" s="5" t="s">
        <v>64</v>
      </c>
      <c r="AR41" s="5" t="s">
        <v>168</v>
      </c>
      <c r="AS41" s="5"/>
      <c r="AT41" s="5"/>
      <c r="AU41" s="5"/>
      <c r="AV41" s="5"/>
      <c r="AW41" s="8"/>
      <c r="AX41" t="s">
        <v>1135</v>
      </c>
      <c r="AY41" t="s">
        <v>2152</v>
      </c>
    </row>
    <row r="42" spans="1:51" x14ac:dyDescent="0.35">
      <c r="A42" s="4" t="s">
        <v>48</v>
      </c>
      <c r="B42" s="5" t="s">
        <v>48</v>
      </c>
      <c r="C42" s="5" t="s">
        <v>294</v>
      </c>
      <c r="D42" s="5" t="s">
        <v>50</v>
      </c>
      <c r="E42" s="5" t="s">
        <v>51</v>
      </c>
      <c r="F42" s="5" t="s">
        <v>234</v>
      </c>
      <c r="G42" s="5" t="s">
        <v>53</v>
      </c>
      <c r="H42" s="5" t="s">
        <v>54</v>
      </c>
      <c r="I42" s="5" t="s">
        <v>295</v>
      </c>
      <c r="J42" s="5" t="s">
        <v>56</v>
      </c>
      <c r="K42" s="5" t="s">
        <v>57</v>
      </c>
      <c r="L42" s="5" t="s">
        <v>58</v>
      </c>
      <c r="M42" s="5" t="s">
        <v>59</v>
      </c>
      <c r="N42" s="5" t="s">
        <v>60</v>
      </c>
      <c r="O42" s="5" t="s">
        <v>60</v>
      </c>
      <c r="P42" s="5" t="s">
        <v>61</v>
      </c>
      <c r="Q42" s="5" t="s">
        <v>62</v>
      </c>
      <c r="R42" s="5" t="s">
        <v>63</v>
      </c>
      <c r="S42" s="5" t="s">
        <v>64</v>
      </c>
      <c r="T42" s="5" t="s">
        <v>65</v>
      </c>
      <c r="U42" s="5" t="s">
        <v>66</v>
      </c>
      <c r="V42" s="5" t="s">
        <v>166</v>
      </c>
      <c r="W42" s="5" t="s">
        <v>192</v>
      </c>
      <c r="X42" s="5" t="s">
        <v>168</v>
      </c>
      <c r="Y42" s="5" t="s">
        <v>169</v>
      </c>
      <c r="Z42" s="5" t="s">
        <v>71</v>
      </c>
      <c r="AA42" s="5" t="s">
        <v>87</v>
      </c>
      <c r="AB42" s="5" t="s">
        <v>104</v>
      </c>
      <c r="AC42" s="5" t="s">
        <v>105</v>
      </c>
      <c r="AD42" s="5" t="s">
        <v>75</v>
      </c>
      <c r="AE42" s="5" t="s">
        <v>170</v>
      </c>
      <c r="AF42" s="6">
        <v>2920</v>
      </c>
      <c r="AG42" s="7">
        <v>1</v>
      </c>
      <c r="AH42" s="6">
        <v>2920</v>
      </c>
      <c r="AI42" s="5" t="s">
        <v>193</v>
      </c>
      <c r="AJ42" s="10">
        <v>46008</v>
      </c>
      <c r="AK42" s="5" t="s">
        <v>296</v>
      </c>
      <c r="AL42" s="5" t="s">
        <v>79</v>
      </c>
      <c r="AM42" s="5">
        <v>1619409</v>
      </c>
      <c r="AN42" s="5" t="s">
        <v>80</v>
      </c>
      <c r="AO42" s="5">
        <v>1094010</v>
      </c>
      <c r="AP42" s="5" t="s">
        <v>81</v>
      </c>
      <c r="AQ42" s="5" t="s">
        <v>64</v>
      </c>
      <c r="AR42" s="5" t="s">
        <v>168</v>
      </c>
      <c r="AS42" s="5"/>
      <c r="AT42" s="5"/>
      <c r="AU42" s="5"/>
      <c r="AV42" s="5"/>
      <c r="AW42" s="8"/>
      <c r="AX42" t="s">
        <v>1135</v>
      </c>
      <c r="AY42" t="s">
        <v>2152</v>
      </c>
    </row>
    <row r="43" spans="1:51" x14ac:dyDescent="0.35">
      <c r="A43" s="4" t="s">
        <v>48</v>
      </c>
      <c r="B43" s="5" t="s">
        <v>48</v>
      </c>
      <c r="C43" s="5" t="s">
        <v>294</v>
      </c>
      <c r="D43" s="5" t="s">
        <v>50</v>
      </c>
      <c r="E43" s="5" t="s">
        <v>51</v>
      </c>
      <c r="F43" s="5" t="s">
        <v>234</v>
      </c>
      <c r="G43" s="5" t="s">
        <v>53</v>
      </c>
      <c r="H43" s="5" t="s">
        <v>54</v>
      </c>
      <c r="I43" s="5" t="s">
        <v>295</v>
      </c>
      <c r="J43" s="5" t="s">
        <v>56</v>
      </c>
      <c r="K43" s="5" t="s">
        <v>57</v>
      </c>
      <c r="L43" s="5" t="s">
        <v>58</v>
      </c>
      <c r="M43" s="5" t="s">
        <v>59</v>
      </c>
      <c r="N43" s="5" t="s">
        <v>60</v>
      </c>
      <c r="O43" s="5" t="s">
        <v>60</v>
      </c>
      <c r="P43" s="5" t="s">
        <v>61</v>
      </c>
      <c r="Q43" s="5" t="s">
        <v>62</v>
      </c>
      <c r="R43" s="5" t="s">
        <v>63</v>
      </c>
      <c r="S43" s="5" t="s">
        <v>64</v>
      </c>
      <c r="T43" s="5" t="s">
        <v>65</v>
      </c>
      <c r="U43" s="5" t="s">
        <v>66</v>
      </c>
      <c r="V43" s="5" t="s">
        <v>297</v>
      </c>
      <c r="W43" s="5" t="s">
        <v>298</v>
      </c>
      <c r="X43" s="5" t="s">
        <v>207</v>
      </c>
      <c r="Y43" s="5" t="s">
        <v>299</v>
      </c>
      <c r="Z43" s="5" t="s">
        <v>71</v>
      </c>
      <c r="AA43" s="5" t="s">
        <v>72</v>
      </c>
      <c r="AB43" s="5" t="s">
        <v>73</v>
      </c>
      <c r="AC43" s="5" t="s">
        <v>74</v>
      </c>
      <c r="AD43" s="5" t="s">
        <v>75</v>
      </c>
      <c r="AE43" s="5" t="s">
        <v>300</v>
      </c>
      <c r="AF43" s="6">
        <v>35818.480000000003</v>
      </c>
      <c r="AG43" s="7">
        <v>1</v>
      </c>
      <c r="AH43" s="6">
        <v>35818.480000000003</v>
      </c>
      <c r="AI43" s="5" t="s">
        <v>209</v>
      </c>
      <c r="AJ43" s="10">
        <v>46008</v>
      </c>
      <c r="AK43" s="5" t="s">
        <v>296</v>
      </c>
      <c r="AL43" s="5" t="s">
        <v>79</v>
      </c>
      <c r="AM43" s="5">
        <v>1619409</v>
      </c>
      <c r="AN43" s="5" t="s">
        <v>80</v>
      </c>
      <c r="AO43" s="5">
        <v>1094010</v>
      </c>
      <c r="AP43" s="5" t="s">
        <v>81</v>
      </c>
      <c r="AQ43" s="5" t="s">
        <v>64</v>
      </c>
      <c r="AR43" s="5" t="s">
        <v>207</v>
      </c>
      <c r="AS43" s="5"/>
      <c r="AT43" s="5"/>
      <c r="AU43" s="5"/>
      <c r="AV43" s="5"/>
      <c r="AW43" s="8"/>
      <c r="AX43" t="s">
        <v>1135</v>
      </c>
      <c r="AY43" t="s">
        <v>2152</v>
      </c>
    </row>
    <row r="44" spans="1:51" x14ac:dyDescent="0.35">
      <c r="A44" s="4" t="s">
        <v>48</v>
      </c>
      <c r="B44" s="5" t="s">
        <v>48</v>
      </c>
      <c r="C44" s="5" t="s">
        <v>294</v>
      </c>
      <c r="D44" s="5" t="s">
        <v>50</v>
      </c>
      <c r="E44" s="5" t="s">
        <v>51</v>
      </c>
      <c r="F44" s="5" t="s">
        <v>234</v>
      </c>
      <c r="G44" s="5" t="s">
        <v>53</v>
      </c>
      <c r="H44" s="5" t="s">
        <v>54</v>
      </c>
      <c r="I44" s="5" t="s">
        <v>295</v>
      </c>
      <c r="J44" s="5" t="s">
        <v>56</v>
      </c>
      <c r="K44" s="5" t="s">
        <v>57</v>
      </c>
      <c r="L44" s="5" t="s">
        <v>58</v>
      </c>
      <c r="M44" s="5" t="s">
        <v>59</v>
      </c>
      <c r="N44" s="5" t="s">
        <v>60</v>
      </c>
      <c r="O44" s="5" t="s">
        <v>60</v>
      </c>
      <c r="P44" s="5" t="s">
        <v>61</v>
      </c>
      <c r="Q44" s="5" t="s">
        <v>62</v>
      </c>
      <c r="R44" s="5" t="s">
        <v>63</v>
      </c>
      <c r="S44" s="5" t="s">
        <v>64</v>
      </c>
      <c r="T44" s="5" t="s">
        <v>65</v>
      </c>
      <c r="U44" s="5" t="s">
        <v>66</v>
      </c>
      <c r="V44" s="5" t="s">
        <v>301</v>
      </c>
      <c r="W44" s="5" t="s">
        <v>302</v>
      </c>
      <c r="X44" s="5" t="s">
        <v>69</v>
      </c>
      <c r="Y44" s="5" t="s">
        <v>303</v>
      </c>
      <c r="Z44" s="5" t="s">
        <v>71</v>
      </c>
      <c r="AA44" s="5" t="s">
        <v>72</v>
      </c>
      <c r="AB44" s="5" t="s">
        <v>73</v>
      </c>
      <c r="AC44" s="5" t="s">
        <v>74</v>
      </c>
      <c r="AD44" s="5" t="s">
        <v>75</v>
      </c>
      <c r="AE44" s="5" t="s">
        <v>223</v>
      </c>
      <c r="AF44" s="6">
        <v>35203.86</v>
      </c>
      <c r="AG44" s="7">
        <v>1</v>
      </c>
      <c r="AH44" s="6">
        <v>35203.86</v>
      </c>
      <c r="AI44" s="5" t="s">
        <v>304</v>
      </c>
      <c r="AJ44" s="10">
        <v>46008</v>
      </c>
      <c r="AK44" s="5" t="s">
        <v>296</v>
      </c>
      <c r="AL44" s="5" t="s">
        <v>79</v>
      </c>
      <c r="AM44" s="5">
        <v>1619409</v>
      </c>
      <c r="AN44" s="5" t="s">
        <v>80</v>
      </c>
      <c r="AO44" s="5">
        <v>1094010</v>
      </c>
      <c r="AP44" s="5" t="s">
        <v>81</v>
      </c>
      <c r="AQ44" s="5" t="s">
        <v>64</v>
      </c>
      <c r="AR44" s="5" t="s">
        <v>69</v>
      </c>
      <c r="AS44" s="5"/>
      <c r="AT44" s="5"/>
      <c r="AU44" s="5"/>
      <c r="AV44" s="5"/>
      <c r="AW44" s="8"/>
      <c r="AX44" t="s">
        <v>1135</v>
      </c>
      <c r="AY44" t="s">
        <v>2152</v>
      </c>
    </row>
    <row r="45" spans="1:51" x14ac:dyDescent="0.35">
      <c r="A45" s="4" t="s">
        <v>48</v>
      </c>
      <c r="B45" s="5" t="s">
        <v>48</v>
      </c>
      <c r="C45" s="5" t="s">
        <v>305</v>
      </c>
      <c r="D45" s="5" t="s">
        <v>50</v>
      </c>
      <c r="E45" s="5" t="s">
        <v>51</v>
      </c>
      <c r="F45" s="5" t="s">
        <v>234</v>
      </c>
      <c r="G45" s="5" t="s">
        <v>53</v>
      </c>
      <c r="H45" s="5" t="s">
        <v>54</v>
      </c>
      <c r="I45" s="5" t="s">
        <v>306</v>
      </c>
      <c r="J45" s="5" t="s">
        <v>56</v>
      </c>
      <c r="K45" s="5" t="s">
        <v>57</v>
      </c>
      <c r="L45" s="5" t="s">
        <v>58</v>
      </c>
      <c r="M45" s="5" t="s">
        <v>59</v>
      </c>
      <c r="N45" s="5" t="s">
        <v>60</v>
      </c>
      <c r="O45" s="5" t="s">
        <v>60</v>
      </c>
      <c r="P45" s="5" t="s">
        <v>61</v>
      </c>
      <c r="Q45" s="5" t="s">
        <v>62</v>
      </c>
      <c r="R45" s="5" t="s">
        <v>63</v>
      </c>
      <c r="S45" s="5" t="s">
        <v>64</v>
      </c>
      <c r="T45" s="5" t="s">
        <v>65</v>
      </c>
      <c r="U45" s="5" t="s">
        <v>66</v>
      </c>
      <c r="V45" s="5" t="s">
        <v>144</v>
      </c>
      <c r="W45" s="5" t="s">
        <v>307</v>
      </c>
      <c r="X45" s="5" t="s">
        <v>146</v>
      </c>
      <c r="Y45" s="5" t="s">
        <v>147</v>
      </c>
      <c r="Z45" s="5" t="s">
        <v>71</v>
      </c>
      <c r="AA45" s="5" t="s">
        <v>87</v>
      </c>
      <c r="AB45" s="5" t="s">
        <v>104</v>
      </c>
      <c r="AC45" s="5" t="s">
        <v>105</v>
      </c>
      <c r="AD45" s="5" t="s">
        <v>75</v>
      </c>
      <c r="AE45" s="5" t="s">
        <v>148</v>
      </c>
      <c r="AF45" s="6">
        <v>2835</v>
      </c>
      <c r="AG45" s="7">
        <v>1</v>
      </c>
      <c r="AH45" s="6">
        <v>2835</v>
      </c>
      <c r="AI45" s="5" t="s">
        <v>308</v>
      </c>
      <c r="AJ45" s="10">
        <v>46010</v>
      </c>
      <c r="AK45" s="5" t="s">
        <v>309</v>
      </c>
      <c r="AL45" s="5" t="s">
        <v>79</v>
      </c>
      <c r="AM45" s="5">
        <v>1619409</v>
      </c>
      <c r="AN45" s="5" t="s">
        <v>80</v>
      </c>
      <c r="AO45" s="5">
        <v>1094010</v>
      </c>
      <c r="AP45" s="5" t="s">
        <v>81</v>
      </c>
      <c r="AQ45" s="5" t="s">
        <v>64</v>
      </c>
      <c r="AR45" s="5" t="s">
        <v>146</v>
      </c>
      <c r="AS45" s="5"/>
      <c r="AT45" s="5"/>
      <c r="AU45" s="5"/>
      <c r="AV45" s="5"/>
      <c r="AW45" s="8"/>
      <c r="AX45" t="s">
        <v>1135</v>
      </c>
      <c r="AY45" t="s">
        <v>2152</v>
      </c>
    </row>
    <row r="46" spans="1:51" x14ac:dyDescent="0.35">
      <c r="A46" s="4" t="s">
        <v>48</v>
      </c>
      <c r="B46" s="5" t="s">
        <v>48</v>
      </c>
      <c r="C46" s="5" t="s">
        <v>305</v>
      </c>
      <c r="D46" s="5" t="s">
        <v>50</v>
      </c>
      <c r="E46" s="5" t="s">
        <v>51</v>
      </c>
      <c r="F46" s="5" t="s">
        <v>234</v>
      </c>
      <c r="G46" s="5" t="s">
        <v>53</v>
      </c>
      <c r="H46" s="5" t="s">
        <v>54</v>
      </c>
      <c r="I46" s="5" t="s">
        <v>310</v>
      </c>
      <c r="J46" s="5" t="s">
        <v>56</v>
      </c>
      <c r="K46" s="5" t="s">
        <v>57</v>
      </c>
      <c r="L46" s="5" t="s">
        <v>58</v>
      </c>
      <c r="M46" s="5" t="s">
        <v>59</v>
      </c>
      <c r="N46" s="5" t="s">
        <v>60</v>
      </c>
      <c r="O46" s="5" t="s">
        <v>60</v>
      </c>
      <c r="P46" s="5" t="s">
        <v>61</v>
      </c>
      <c r="Q46" s="5" t="s">
        <v>62</v>
      </c>
      <c r="R46" s="5" t="s">
        <v>63</v>
      </c>
      <c r="S46" s="5" t="s">
        <v>64</v>
      </c>
      <c r="T46" s="5" t="s">
        <v>65</v>
      </c>
      <c r="U46" s="5" t="s">
        <v>66</v>
      </c>
      <c r="V46" s="5" t="s">
        <v>260</v>
      </c>
      <c r="W46" s="5" t="s">
        <v>261</v>
      </c>
      <c r="X46" s="5" t="s">
        <v>168</v>
      </c>
      <c r="Y46" s="5" t="s">
        <v>262</v>
      </c>
      <c r="Z46" s="5" t="s">
        <v>71</v>
      </c>
      <c r="AA46" s="5" t="s">
        <v>87</v>
      </c>
      <c r="AB46" s="5" t="s">
        <v>104</v>
      </c>
      <c r="AC46" s="5" t="s">
        <v>105</v>
      </c>
      <c r="AD46" s="5" t="s">
        <v>75</v>
      </c>
      <c r="AE46" s="5" t="s">
        <v>263</v>
      </c>
      <c r="AF46" s="6">
        <v>2920</v>
      </c>
      <c r="AG46" s="7">
        <v>1</v>
      </c>
      <c r="AH46" s="6">
        <v>2920</v>
      </c>
      <c r="AI46" s="5" t="s">
        <v>193</v>
      </c>
      <c r="AJ46" s="10">
        <v>46010</v>
      </c>
      <c r="AK46" s="5" t="s">
        <v>311</v>
      </c>
      <c r="AL46" s="5" t="s">
        <v>79</v>
      </c>
      <c r="AM46" s="5">
        <v>1619409</v>
      </c>
      <c r="AN46" s="5" t="s">
        <v>80</v>
      </c>
      <c r="AO46" s="5">
        <v>1094010</v>
      </c>
      <c r="AP46" s="5" t="s">
        <v>81</v>
      </c>
      <c r="AQ46" s="5" t="s">
        <v>64</v>
      </c>
      <c r="AR46" s="5" t="s">
        <v>168</v>
      </c>
      <c r="AS46" s="5"/>
      <c r="AT46" s="5"/>
      <c r="AU46" s="5"/>
      <c r="AV46" s="5"/>
      <c r="AW46" s="8"/>
      <c r="AX46" t="s">
        <v>1135</v>
      </c>
      <c r="AY46" t="s">
        <v>2152</v>
      </c>
    </row>
    <row r="47" spans="1:51" x14ac:dyDescent="0.35">
      <c r="A47" s="4" t="s">
        <v>48</v>
      </c>
      <c r="B47" s="5" t="s">
        <v>48</v>
      </c>
      <c r="C47" s="5" t="s">
        <v>305</v>
      </c>
      <c r="D47" s="5" t="s">
        <v>50</v>
      </c>
      <c r="E47" s="5" t="s">
        <v>51</v>
      </c>
      <c r="F47" s="5" t="s">
        <v>234</v>
      </c>
      <c r="G47" s="5" t="s">
        <v>53</v>
      </c>
      <c r="H47" s="5" t="s">
        <v>54</v>
      </c>
      <c r="I47" s="5" t="s">
        <v>310</v>
      </c>
      <c r="J47" s="5" t="s">
        <v>56</v>
      </c>
      <c r="K47" s="5" t="s">
        <v>57</v>
      </c>
      <c r="L47" s="5" t="s">
        <v>58</v>
      </c>
      <c r="M47" s="5" t="s">
        <v>59</v>
      </c>
      <c r="N47" s="5" t="s">
        <v>60</v>
      </c>
      <c r="O47" s="5" t="s">
        <v>60</v>
      </c>
      <c r="P47" s="5" t="s">
        <v>61</v>
      </c>
      <c r="Q47" s="5" t="s">
        <v>62</v>
      </c>
      <c r="R47" s="5" t="s">
        <v>63</v>
      </c>
      <c r="S47" s="5" t="s">
        <v>64</v>
      </c>
      <c r="T47" s="5" t="s">
        <v>65</v>
      </c>
      <c r="U47" s="5" t="s">
        <v>66</v>
      </c>
      <c r="V47" s="5" t="s">
        <v>312</v>
      </c>
      <c r="W47" s="5" t="s">
        <v>313</v>
      </c>
      <c r="X47" s="5" t="s">
        <v>85</v>
      </c>
      <c r="Y47" s="5" t="s">
        <v>314</v>
      </c>
      <c r="Z47" s="5" t="s">
        <v>71</v>
      </c>
      <c r="AA47" s="5" t="s">
        <v>249</v>
      </c>
      <c r="AB47" s="5" t="s">
        <v>250</v>
      </c>
      <c r="AC47" s="5" t="s">
        <v>251</v>
      </c>
      <c r="AD47" s="5" t="s">
        <v>75</v>
      </c>
      <c r="AE47" s="5" t="s">
        <v>315</v>
      </c>
      <c r="AF47" s="6">
        <v>30900</v>
      </c>
      <c r="AG47" s="7">
        <v>1</v>
      </c>
      <c r="AH47" s="6">
        <v>30900</v>
      </c>
      <c r="AI47" s="5" t="s">
        <v>316</v>
      </c>
      <c r="AJ47" s="10">
        <v>46010</v>
      </c>
      <c r="AK47" s="5" t="s">
        <v>311</v>
      </c>
      <c r="AL47" s="5" t="s">
        <v>79</v>
      </c>
      <c r="AM47" s="5">
        <v>1619409</v>
      </c>
      <c r="AN47" s="5" t="s">
        <v>80</v>
      </c>
      <c r="AO47" s="5">
        <v>1094010</v>
      </c>
      <c r="AP47" s="5" t="s">
        <v>81</v>
      </c>
      <c r="AQ47" s="5" t="s">
        <v>64</v>
      </c>
      <c r="AR47" s="5" t="s">
        <v>85</v>
      </c>
      <c r="AS47" s="5"/>
      <c r="AT47" s="5"/>
      <c r="AU47" s="5"/>
      <c r="AV47" s="5"/>
      <c r="AW47" s="8"/>
      <c r="AX47" t="s">
        <v>1135</v>
      </c>
      <c r="AY47" t="s">
        <v>2152</v>
      </c>
    </row>
    <row r="48" spans="1:51" x14ac:dyDescent="0.35">
      <c r="A48" s="4" t="s">
        <v>48</v>
      </c>
      <c r="B48" s="5" t="s">
        <v>48</v>
      </c>
      <c r="C48" s="5" t="s">
        <v>305</v>
      </c>
      <c r="D48" s="5" t="s">
        <v>50</v>
      </c>
      <c r="E48" s="5" t="s">
        <v>51</v>
      </c>
      <c r="F48" s="5" t="s">
        <v>234</v>
      </c>
      <c r="G48" s="5" t="s">
        <v>53</v>
      </c>
      <c r="H48" s="5" t="s">
        <v>54</v>
      </c>
      <c r="I48" s="5" t="s">
        <v>310</v>
      </c>
      <c r="J48" s="5" t="s">
        <v>56</v>
      </c>
      <c r="K48" s="5" t="s">
        <v>57</v>
      </c>
      <c r="L48" s="5" t="s">
        <v>58</v>
      </c>
      <c r="M48" s="5" t="s">
        <v>59</v>
      </c>
      <c r="N48" s="5" t="s">
        <v>60</v>
      </c>
      <c r="O48" s="5" t="s">
        <v>60</v>
      </c>
      <c r="P48" s="5" t="s">
        <v>61</v>
      </c>
      <c r="Q48" s="5" t="s">
        <v>62</v>
      </c>
      <c r="R48" s="5" t="s">
        <v>63</v>
      </c>
      <c r="S48" s="5" t="s">
        <v>64</v>
      </c>
      <c r="T48" s="5" t="s">
        <v>65</v>
      </c>
      <c r="U48" s="5" t="s">
        <v>66</v>
      </c>
      <c r="V48" s="5" t="s">
        <v>317</v>
      </c>
      <c r="W48" s="5" t="s">
        <v>318</v>
      </c>
      <c r="X48" s="5" t="s">
        <v>319</v>
      </c>
      <c r="Y48" s="5" t="s">
        <v>320</v>
      </c>
      <c r="Z48" s="5" t="s">
        <v>71</v>
      </c>
      <c r="AA48" s="5" t="s">
        <v>72</v>
      </c>
      <c r="AB48" s="5" t="s">
        <v>73</v>
      </c>
      <c r="AC48" s="5" t="s">
        <v>74</v>
      </c>
      <c r="AD48" s="5" t="s">
        <v>75</v>
      </c>
      <c r="AE48" s="5" t="s">
        <v>300</v>
      </c>
      <c r="AF48" s="6">
        <v>35203.86</v>
      </c>
      <c r="AG48" s="7">
        <v>1</v>
      </c>
      <c r="AH48" s="6">
        <v>35203.86</v>
      </c>
      <c r="AI48" s="5" t="s">
        <v>321</v>
      </c>
      <c r="AJ48" s="10">
        <v>46010</v>
      </c>
      <c r="AK48" s="5" t="s">
        <v>311</v>
      </c>
      <c r="AL48" s="5" t="s">
        <v>79</v>
      </c>
      <c r="AM48" s="5">
        <v>1619409</v>
      </c>
      <c r="AN48" s="5" t="s">
        <v>80</v>
      </c>
      <c r="AO48" s="5">
        <v>1094010</v>
      </c>
      <c r="AP48" s="5" t="s">
        <v>81</v>
      </c>
      <c r="AQ48" s="5" t="s">
        <v>64</v>
      </c>
      <c r="AR48" s="5" t="s">
        <v>319</v>
      </c>
      <c r="AS48" s="5"/>
      <c r="AT48" s="5"/>
      <c r="AU48" s="5"/>
      <c r="AV48" s="5"/>
      <c r="AW48" s="8"/>
      <c r="AX48" t="s">
        <v>1135</v>
      </c>
      <c r="AY48" t="s">
        <v>2152</v>
      </c>
    </row>
    <row r="49" spans="1:51" x14ac:dyDescent="0.35">
      <c r="A49" s="4" t="s">
        <v>48</v>
      </c>
      <c r="B49" s="5" t="s">
        <v>48</v>
      </c>
      <c r="C49" s="5" t="s">
        <v>305</v>
      </c>
      <c r="D49" s="5" t="s">
        <v>50</v>
      </c>
      <c r="E49" s="5" t="s">
        <v>51</v>
      </c>
      <c r="F49" s="5" t="s">
        <v>234</v>
      </c>
      <c r="G49" s="5" t="s">
        <v>53</v>
      </c>
      <c r="H49" s="5" t="s">
        <v>54</v>
      </c>
      <c r="I49" s="5" t="s">
        <v>310</v>
      </c>
      <c r="J49" s="5" t="s">
        <v>56</v>
      </c>
      <c r="K49" s="5" t="s">
        <v>57</v>
      </c>
      <c r="L49" s="5" t="s">
        <v>58</v>
      </c>
      <c r="M49" s="5" t="s">
        <v>59</v>
      </c>
      <c r="N49" s="5" t="s">
        <v>60</v>
      </c>
      <c r="O49" s="5" t="s">
        <v>60</v>
      </c>
      <c r="P49" s="5" t="s">
        <v>61</v>
      </c>
      <c r="Q49" s="5" t="s">
        <v>62</v>
      </c>
      <c r="R49" s="5" t="s">
        <v>63</v>
      </c>
      <c r="S49" s="5" t="s">
        <v>64</v>
      </c>
      <c r="T49" s="5" t="s">
        <v>65</v>
      </c>
      <c r="U49" s="5" t="s">
        <v>66</v>
      </c>
      <c r="V49" s="5" t="s">
        <v>301</v>
      </c>
      <c r="W49" s="5" t="s">
        <v>322</v>
      </c>
      <c r="X49" s="5" t="s">
        <v>129</v>
      </c>
      <c r="Y49" s="5" t="s">
        <v>303</v>
      </c>
      <c r="Z49" s="5" t="s">
        <v>71</v>
      </c>
      <c r="AA49" s="5" t="s">
        <v>72</v>
      </c>
      <c r="AB49" s="5" t="s">
        <v>73</v>
      </c>
      <c r="AC49" s="5" t="s">
        <v>74</v>
      </c>
      <c r="AD49" s="5" t="s">
        <v>75</v>
      </c>
      <c r="AE49" s="5" t="s">
        <v>223</v>
      </c>
      <c r="AF49" s="6">
        <v>35818.480000000003</v>
      </c>
      <c r="AG49" s="7">
        <v>1</v>
      </c>
      <c r="AH49" s="6">
        <v>35818.480000000003</v>
      </c>
      <c r="AI49" s="5" t="s">
        <v>323</v>
      </c>
      <c r="AJ49" s="10">
        <v>46010</v>
      </c>
      <c r="AK49" s="5" t="s">
        <v>311</v>
      </c>
      <c r="AL49" s="5" t="s">
        <v>79</v>
      </c>
      <c r="AM49" s="5">
        <v>1619409</v>
      </c>
      <c r="AN49" s="5" t="s">
        <v>80</v>
      </c>
      <c r="AO49" s="5">
        <v>1094010</v>
      </c>
      <c r="AP49" s="5" t="s">
        <v>81</v>
      </c>
      <c r="AQ49" s="5" t="s">
        <v>64</v>
      </c>
      <c r="AR49" s="5" t="s">
        <v>129</v>
      </c>
      <c r="AS49" s="5"/>
      <c r="AT49" s="5"/>
      <c r="AU49" s="5"/>
      <c r="AV49" s="5"/>
      <c r="AW49" s="8"/>
      <c r="AX49" t="s">
        <v>1135</v>
      </c>
      <c r="AY49" t="s">
        <v>2152</v>
      </c>
    </row>
    <row r="50" spans="1:51" x14ac:dyDescent="0.35">
      <c r="A50" s="4" t="s">
        <v>48</v>
      </c>
      <c r="B50" s="5" t="s">
        <v>48</v>
      </c>
      <c r="C50" s="5" t="s">
        <v>324</v>
      </c>
      <c r="D50" s="5" t="s">
        <v>50</v>
      </c>
      <c r="E50" s="5" t="s">
        <v>51</v>
      </c>
      <c r="F50" s="5" t="s">
        <v>234</v>
      </c>
      <c r="G50" s="5" t="s">
        <v>53</v>
      </c>
      <c r="H50" s="5" t="s">
        <v>54</v>
      </c>
      <c r="I50" s="5" t="s">
        <v>325</v>
      </c>
      <c r="J50" s="5" t="s">
        <v>56</v>
      </c>
      <c r="K50" s="5" t="s">
        <v>57</v>
      </c>
      <c r="L50" s="5" t="s">
        <v>58</v>
      </c>
      <c r="M50" s="5" t="s">
        <v>59</v>
      </c>
      <c r="N50" s="5" t="s">
        <v>60</v>
      </c>
      <c r="O50" s="5" t="s">
        <v>60</v>
      </c>
      <c r="P50" s="5" t="s">
        <v>61</v>
      </c>
      <c r="Q50" s="5" t="s">
        <v>62</v>
      </c>
      <c r="R50" s="5" t="s">
        <v>63</v>
      </c>
      <c r="S50" s="5" t="s">
        <v>64</v>
      </c>
      <c r="T50" s="5" t="s">
        <v>65</v>
      </c>
      <c r="U50" s="5" t="s">
        <v>66</v>
      </c>
      <c r="V50" s="5" t="s">
        <v>113</v>
      </c>
      <c r="W50" s="5" t="s">
        <v>114</v>
      </c>
      <c r="X50" s="5" t="s">
        <v>115</v>
      </c>
      <c r="Y50" s="5" t="s">
        <v>116</v>
      </c>
      <c r="Z50" s="5" t="s">
        <v>71</v>
      </c>
      <c r="AA50" s="5" t="s">
        <v>87</v>
      </c>
      <c r="AB50" s="5" t="s">
        <v>88</v>
      </c>
      <c r="AC50" s="5" t="s">
        <v>89</v>
      </c>
      <c r="AD50" s="5" t="s">
        <v>75</v>
      </c>
      <c r="AE50" s="5" t="s">
        <v>117</v>
      </c>
      <c r="AF50" s="6">
        <v>4326</v>
      </c>
      <c r="AG50" s="7">
        <v>1</v>
      </c>
      <c r="AH50" s="6">
        <v>4326</v>
      </c>
      <c r="AI50" s="5" t="s">
        <v>118</v>
      </c>
      <c r="AJ50" s="10">
        <v>46011</v>
      </c>
      <c r="AK50" s="5" t="s">
        <v>326</v>
      </c>
      <c r="AL50" s="5" t="s">
        <v>79</v>
      </c>
      <c r="AM50" s="5">
        <v>1619409</v>
      </c>
      <c r="AN50" s="5" t="s">
        <v>80</v>
      </c>
      <c r="AO50" s="5">
        <v>1094010</v>
      </c>
      <c r="AP50" s="5" t="s">
        <v>81</v>
      </c>
      <c r="AQ50" s="5" t="s">
        <v>64</v>
      </c>
      <c r="AR50" s="5" t="s">
        <v>115</v>
      </c>
      <c r="AS50" s="5"/>
      <c r="AT50" s="5"/>
      <c r="AU50" s="5"/>
      <c r="AV50" s="5"/>
      <c r="AW50" s="8"/>
      <c r="AX50" t="s">
        <v>1135</v>
      </c>
      <c r="AY50" t="s">
        <v>2152</v>
      </c>
    </row>
    <row r="51" spans="1:51" x14ac:dyDescent="0.35">
      <c r="A51" s="4" t="s">
        <v>48</v>
      </c>
      <c r="B51" s="5" t="s">
        <v>48</v>
      </c>
      <c r="C51" s="5" t="s">
        <v>173</v>
      </c>
      <c r="D51" s="5" t="s">
        <v>50</v>
      </c>
      <c r="E51" s="5" t="s">
        <v>51</v>
      </c>
      <c r="F51" s="5" t="s">
        <v>327</v>
      </c>
      <c r="G51" s="5" t="s">
        <v>53</v>
      </c>
      <c r="H51" s="5" t="s">
        <v>54</v>
      </c>
      <c r="I51" s="5" t="s">
        <v>328</v>
      </c>
      <c r="J51" s="5" t="s">
        <v>56</v>
      </c>
      <c r="K51" s="5" t="s">
        <v>57</v>
      </c>
      <c r="L51" s="5" t="s">
        <v>58</v>
      </c>
      <c r="M51" s="5" t="s">
        <v>59</v>
      </c>
      <c r="N51" s="5" t="s">
        <v>60</v>
      </c>
      <c r="O51" s="5" t="s">
        <v>60</v>
      </c>
      <c r="P51" s="5" t="s">
        <v>61</v>
      </c>
      <c r="Q51" s="5" t="s">
        <v>62</v>
      </c>
      <c r="R51" s="5" t="s">
        <v>63</v>
      </c>
      <c r="S51" s="5" t="s">
        <v>64</v>
      </c>
      <c r="T51" s="5" t="s">
        <v>65</v>
      </c>
      <c r="U51" s="5" t="s">
        <v>66</v>
      </c>
      <c r="V51" s="5" t="s">
        <v>329</v>
      </c>
      <c r="W51" s="5" t="s">
        <v>330</v>
      </c>
      <c r="X51" s="5" t="s">
        <v>129</v>
      </c>
      <c r="Y51" s="5" t="s">
        <v>331</v>
      </c>
      <c r="Z51" s="5" t="s">
        <v>71</v>
      </c>
      <c r="AA51" s="5" t="s">
        <v>87</v>
      </c>
      <c r="AB51" s="5" t="s">
        <v>88</v>
      </c>
      <c r="AC51" s="5" t="s">
        <v>89</v>
      </c>
      <c r="AD51" s="5" t="s">
        <v>75</v>
      </c>
      <c r="AE51" s="5" t="s">
        <v>90</v>
      </c>
      <c r="AF51" s="6">
        <v>4326</v>
      </c>
      <c r="AG51" s="7">
        <v>1</v>
      </c>
      <c r="AH51" s="6">
        <v>4326</v>
      </c>
      <c r="AI51" s="5" t="s">
        <v>118</v>
      </c>
      <c r="AJ51" s="10">
        <v>46013</v>
      </c>
      <c r="AK51" s="5" t="s">
        <v>332</v>
      </c>
      <c r="AL51" s="5" t="s">
        <v>79</v>
      </c>
      <c r="AM51" s="5">
        <v>1619409</v>
      </c>
      <c r="AN51" s="5" t="s">
        <v>80</v>
      </c>
      <c r="AO51" s="5">
        <v>1094010</v>
      </c>
      <c r="AP51" s="5" t="s">
        <v>81</v>
      </c>
      <c r="AQ51" s="5" t="s">
        <v>64</v>
      </c>
      <c r="AR51" s="5" t="s">
        <v>129</v>
      </c>
      <c r="AS51" s="5"/>
      <c r="AT51" s="5"/>
      <c r="AU51" s="5"/>
      <c r="AV51" s="5"/>
      <c r="AW51" s="8"/>
      <c r="AX51" t="s">
        <v>1135</v>
      </c>
      <c r="AY51" t="s">
        <v>2152</v>
      </c>
    </row>
    <row r="52" spans="1:51" x14ac:dyDescent="0.35">
      <c r="A52" s="4" t="s">
        <v>48</v>
      </c>
      <c r="B52" s="5" t="s">
        <v>48</v>
      </c>
      <c r="C52" s="5" t="s">
        <v>173</v>
      </c>
      <c r="D52" s="5" t="s">
        <v>50</v>
      </c>
      <c r="E52" s="5" t="s">
        <v>51</v>
      </c>
      <c r="F52" s="5" t="s">
        <v>327</v>
      </c>
      <c r="G52" s="5" t="s">
        <v>53</v>
      </c>
      <c r="H52" s="5" t="s">
        <v>54</v>
      </c>
      <c r="I52" s="5" t="s">
        <v>328</v>
      </c>
      <c r="J52" s="5" t="s">
        <v>56</v>
      </c>
      <c r="K52" s="5" t="s">
        <v>57</v>
      </c>
      <c r="L52" s="5" t="s">
        <v>58</v>
      </c>
      <c r="M52" s="5" t="s">
        <v>59</v>
      </c>
      <c r="N52" s="5" t="s">
        <v>60</v>
      </c>
      <c r="O52" s="5" t="s">
        <v>60</v>
      </c>
      <c r="P52" s="5" t="s">
        <v>61</v>
      </c>
      <c r="Q52" s="5" t="s">
        <v>62</v>
      </c>
      <c r="R52" s="5" t="s">
        <v>63</v>
      </c>
      <c r="S52" s="5" t="s">
        <v>64</v>
      </c>
      <c r="T52" s="5" t="s">
        <v>65</v>
      </c>
      <c r="U52" s="5" t="s">
        <v>66</v>
      </c>
      <c r="V52" s="5" t="s">
        <v>333</v>
      </c>
      <c r="W52" s="5" t="s">
        <v>334</v>
      </c>
      <c r="X52" s="5" t="s">
        <v>207</v>
      </c>
      <c r="Y52" s="5" t="s">
        <v>335</v>
      </c>
      <c r="Z52" s="5" t="s">
        <v>71</v>
      </c>
      <c r="AA52" s="5" t="s">
        <v>72</v>
      </c>
      <c r="AB52" s="5" t="s">
        <v>73</v>
      </c>
      <c r="AC52" s="5" t="s">
        <v>74</v>
      </c>
      <c r="AD52" s="5" t="s">
        <v>75</v>
      </c>
      <c r="AE52" s="5" t="s">
        <v>336</v>
      </c>
      <c r="AF52" s="6">
        <v>35818.480000000003</v>
      </c>
      <c r="AG52" s="7">
        <v>1</v>
      </c>
      <c r="AH52" s="6">
        <v>35818.480000000003</v>
      </c>
      <c r="AI52" s="5" t="s">
        <v>141</v>
      </c>
      <c r="AJ52" s="10">
        <v>46013</v>
      </c>
      <c r="AK52" s="5" t="s">
        <v>332</v>
      </c>
      <c r="AL52" s="5" t="s">
        <v>79</v>
      </c>
      <c r="AM52" s="5">
        <v>1619409</v>
      </c>
      <c r="AN52" s="5" t="s">
        <v>80</v>
      </c>
      <c r="AO52" s="5">
        <v>1094010</v>
      </c>
      <c r="AP52" s="5" t="s">
        <v>81</v>
      </c>
      <c r="AQ52" s="5" t="s">
        <v>64</v>
      </c>
      <c r="AR52" s="5" t="s">
        <v>207</v>
      </c>
      <c r="AS52" s="5"/>
      <c r="AT52" s="5"/>
      <c r="AU52" s="5"/>
      <c r="AV52" s="5"/>
      <c r="AW52" s="8"/>
      <c r="AX52" t="s">
        <v>1135</v>
      </c>
      <c r="AY52" t="s">
        <v>2152</v>
      </c>
    </row>
    <row r="53" spans="1:51" x14ac:dyDescent="0.35">
      <c r="A53" s="4" t="s">
        <v>48</v>
      </c>
      <c r="B53" s="5" t="s">
        <v>48</v>
      </c>
      <c r="C53" s="5" t="s">
        <v>173</v>
      </c>
      <c r="D53" s="5" t="s">
        <v>50</v>
      </c>
      <c r="E53" s="5" t="s">
        <v>51</v>
      </c>
      <c r="F53" s="5" t="s">
        <v>327</v>
      </c>
      <c r="G53" s="5" t="s">
        <v>53</v>
      </c>
      <c r="H53" s="5" t="s">
        <v>54</v>
      </c>
      <c r="I53" s="5" t="s">
        <v>328</v>
      </c>
      <c r="J53" s="5" t="s">
        <v>56</v>
      </c>
      <c r="K53" s="5" t="s">
        <v>57</v>
      </c>
      <c r="L53" s="5" t="s">
        <v>58</v>
      </c>
      <c r="M53" s="5" t="s">
        <v>59</v>
      </c>
      <c r="N53" s="5" t="s">
        <v>60</v>
      </c>
      <c r="O53" s="5" t="s">
        <v>60</v>
      </c>
      <c r="P53" s="5" t="s">
        <v>61</v>
      </c>
      <c r="Q53" s="5" t="s">
        <v>62</v>
      </c>
      <c r="R53" s="5" t="s">
        <v>63</v>
      </c>
      <c r="S53" s="5" t="s">
        <v>64</v>
      </c>
      <c r="T53" s="5" t="s">
        <v>65</v>
      </c>
      <c r="U53" s="5" t="s">
        <v>66</v>
      </c>
      <c r="V53" s="5" t="s">
        <v>337</v>
      </c>
      <c r="W53" s="5" t="s">
        <v>338</v>
      </c>
      <c r="X53" s="5" t="s">
        <v>138</v>
      </c>
      <c r="Y53" s="5" t="s">
        <v>339</v>
      </c>
      <c r="Z53" s="5" t="s">
        <v>71</v>
      </c>
      <c r="AA53" s="5" t="s">
        <v>72</v>
      </c>
      <c r="AB53" s="5" t="s">
        <v>73</v>
      </c>
      <c r="AC53" s="5" t="s">
        <v>228</v>
      </c>
      <c r="AD53" s="5" t="s">
        <v>75</v>
      </c>
      <c r="AE53" s="5" t="s">
        <v>340</v>
      </c>
      <c r="AF53" s="6">
        <v>35818.480000000003</v>
      </c>
      <c r="AG53" s="7">
        <v>1</v>
      </c>
      <c r="AH53" s="6">
        <v>35818.480000000003</v>
      </c>
      <c r="AI53" s="5" t="s">
        <v>134</v>
      </c>
      <c r="AJ53" s="10">
        <v>46013</v>
      </c>
      <c r="AK53" s="5" t="s">
        <v>332</v>
      </c>
      <c r="AL53" s="5" t="s">
        <v>79</v>
      </c>
      <c r="AM53" s="5">
        <v>1619409</v>
      </c>
      <c r="AN53" s="5" t="s">
        <v>80</v>
      </c>
      <c r="AO53" s="5">
        <v>1094010</v>
      </c>
      <c r="AP53" s="5" t="s">
        <v>81</v>
      </c>
      <c r="AQ53" s="5" t="s">
        <v>64</v>
      </c>
      <c r="AR53" s="5" t="s">
        <v>138</v>
      </c>
      <c r="AS53" s="5"/>
      <c r="AT53" s="5"/>
      <c r="AU53" s="5"/>
      <c r="AV53" s="5"/>
      <c r="AW53" s="8"/>
      <c r="AX53" t="s">
        <v>1135</v>
      </c>
      <c r="AY53" t="s">
        <v>2152</v>
      </c>
    </row>
    <row r="54" spans="1:51" x14ac:dyDescent="0.35">
      <c r="A54" s="4" t="s">
        <v>48</v>
      </c>
      <c r="B54" s="5" t="s">
        <v>48</v>
      </c>
      <c r="C54" s="5" t="s">
        <v>173</v>
      </c>
      <c r="D54" s="5" t="s">
        <v>50</v>
      </c>
      <c r="E54" s="5" t="s">
        <v>51</v>
      </c>
      <c r="F54" s="5" t="s">
        <v>327</v>
      </c>
      <c r="G54" s="5" t="s">
        <v>53</v>
      </c>
      <c r="H54" s="5" t="s">
        <v>54</v>
      </c>
      <c r="I54" s="5" t="s">
        <v>341</v>
      </c>
      <c r="J54" s="5" t="s">
        <v>56</v>
      </c>
      <c r="K54" s="5" t="s">
        <v>57</v>
      </c>
      <c r="L54" s="5" t="s">
        <v>58</v>
      </c>
      <c r="M54" s="5" t="s">
        <v>59</v>
      </c>
      <c r="N54" s="5" t="s">
        <v>60</v>
      </c>
      <c r="O54" s="5" t="s">
        <v>60</v>
      </c>
      <c r="P54" s="5" t="s">
        <v>61</v>
      </c>
      <c r="Q54" s="5" t="s">
        <v>62</v>
      </c>
      <c r="R54" s="5" t="s">
        <v>63</v>
      </c>
      <c r="S54" s="5" t="s">
        <v>64</v>
      </c>
      <c r="T54" s="5" t="s">
        <v>65</v>
      </c>
      <c r="U54" s="5" t="s">
        <v>66</v>
      </c>
      <c r="V54" s="5" t="s">
        <v>342</v>
      </c>
      <c r="W54" s="5" t="s">
        <v>343</v>
      </c>
      <c r="X54" s="5" t="s">
        <v>85</v>
      </c>
      <c r="Y54" s="5" t="s">
        <v>344</v>
      </c>
      <c r="Z54" s="5" t="s">
        <v>71</v>
      </c>
      <c r="AA54" s="5" t="s">
        <v>72</v>
      </c>
      <c r="AB54" s="5" t="s">
        <v>73</v>
      </c>
      <c r="AC54" s="5" t="s">
        <v>74</v>
      </c>
      <c r="AD54" s="5" t="s">
        <v>75</v>
      </c>
      <c r="AE54" s="5" t="s">
        <v>201</v>
      </c>
      <c r="AF54" s="6">
        <v>35818.480000000003</v>
      </c>
      <c r="AG54" s="7">
        <v>1</v>
      </c>
      <c r="AH54" s="6">
        <v>35818.480000000003</v>
      </c>
      <c r="AI54" s="5" t="s">
        <v>345</v>
      </c>
      <c r="AJ54" s="10">
        <v>46013</v>
      </c>
      <c r="AK54" s="5" t="s">
        <v>346</v>
      </c>
      <c r="AL54" s="5" t="s">
        <v>79</v>
      </c>
      <c r="AM54" s="5">
        <v>1619409</v>
      </c>
      <c r="AN54" s="5" t="s">
        <v>80</v>
      </c>
      <c r="AO54" s="5">
        <v>1094010</v>
      </c>
      <c r="AP54" s="5" t="s">
        <v>81</v>
      </c>
      <c r="AQ54" s="5" t="s">
        <v>64</v>
      </c>
      <c r="AR54" s="5" t="s">
        <v>85</v>
      </c>
      <c r="AS54" s="5"/>
      <c r="AT54" s="5"/>
      <c r="AU54" s="5"/>
      <c r="AV54" s="5"/>
      <c r="AW54" s="8"/>
      <c r="AX54" t="s">
        <v>1135</v>
      </c>
      <c r="AY54" t="s">
        <v>2152</v>
      </c>
    </row>
    <row r="55" spans="1:51" x14ac:dyDescent="0.35">
      <c r="A55" s="4" t="s">
        <v>48</v>
      </c>
      <c r="B55" s="5" t="s">
        <v>48</v>
      </c>
      <c r="C55" s="5" t="s">
        <v>173</v>
      </c>
      <c r="D55" s="5" t="s">
        <v>50</v>
      </c>
      <c r="E55" s="5" t="s">
        <v>51</v>
      </c>
      <c r="F55" s="5" t="s">
        <v>327</v>
      </c>
      <c r="G55" s="5" t="s">
        <v>53</v>
      </c>
      <c r="H55" s="5" t="s">
        <v>54</v>
      </c>
      <c r="I55" s="5" t="s">
        <v>347</v>
      </c>
      <c r="J55" s="5" t="s">
        <v>56</v>
      </c>
      <c r="K55" s="5" t="s">
        <v>57</v>
      </c>
      <c r="L55" s="5" t="s">
        <v>58</v>
      </c>
      <c r="M55" s="5" t="s">
        <v>59</v>
      </c>
      <c r="N55" s="5" t="s">
        <v>60</v>
      </c>
      <c r="O55" s="5" t="s">
        <v>60</v>
      </c>
      <c r="P55" s="5" t="s">
        <v>61</v>
      </c>
      <c r="Q55" s="5" t="s">
        <v>62</v>
      </c>
      <c r="R55" s="5" t="s">
        <v>63</v>
      </c>
      <c r="S55" s="5" t="s">
        <v>64</v>
      </c>
      <c r="T55" s="5" t="s">
        <v>65</v>
      </c>
      <c r="U55" s="5" t="s">
        <v>66</v>
      </c>
      <c r="V55" s="5" t="s">
        <v>348</v>
      </c>
      <c r="W55" s="5" t="s">
        <v>349</v>
      </c>
      <c r="X55" s="5" t="s">
        <v>350</v>
      </c>
      <c r="Y55" s="5" t="s">
        <v>351</v>
      </c>
      <c r="Z55" s="5" t="s">
        <v>71</v>
      </c>
      <c r="AA55" s="5" t="s">
        <v>87</v>
      </c>
      <c r="AB55" s="5" t="s">
        <v>104</v>
      </c>
      <c r="AC55" s="5" t="s">
        <v>105</v>
      </c>
      <c r="AD55" s="5" t="s">
        <v>75</v>
      </c>
      <c r="AE55" s="5" t="s">
        <v>170</v>
      </c>
      <c r="AF55" s="6">
        <v>2920</v>
      </c>
      <c r="AG55" s="7">
        <v>1</v>
      </c>
      <c r="AH55" s="6">
        <v>2920</v>
      </c>
      <c r="AI55" s="5" t="s">
        <v>352</v>
      </c>
      <c r="AJ55" s="10">
        <v>46013</v>
      </c>
      <c r="AK55" s="5" t="s">
        <v>353</v>
      </c>
      <c r="AL55" s="5" t="s">
        <v>79</v>
      </c>
      <c r="AM55" s="5">
        <v>1619409</v>
      </c>
      <c r="AN55" s="5" t="s">
        <v>80</v>
      </c>
      <c r="AO55" s="5">
        <v>1094010</v>
      </c>
      <c r="AP55" s="5" t="s">
        <v>81</v>
      </c>
      <c r="AQ55" s="5" t="s">
        <v>64</v>
      </c>
      <c r="AR55" s="5" t="s">
        <v>350</v>
      </c>
      <c r="AS55" s="5"/>
      <c r="AT55" s="5"/>
      <c r="AU55" s="5"/>
      <c r="AV55" s="5"/>
      <c r="AW55" s="8"/>
      <c r="AX55" t="s">
        <v>1135</v>
      </c>
      <c r="AY55" t="s">
        <v>2152</v>
      </c>
    </row>
    <row r="56" spans="1:51" x14ac:dyDescent="0.35">
      <c r="A56" s="4" t="s">
        <v>48</v>
      </c>
      <c r="B56" s="5" t="s">
        <v>48</v>
      </c>
      <c r="C56" s="5" t="s">
        <v>173</v>
      </c>
      <c r="D56" s="5" t="s">
        <v>50</v>
      </c>
      <c r="E56" s="5" t="s">
        <v>51</v>
      </c>
      <c r="F56" s="5" t="s">
        <v>327</v>
      </c>
      <c r="G56" s="5" t="s">
        <v>53</v>
      </c>
      <c r="H56" s="5" t="s">
        <v>54</v>
      </c>
      <c r="I56" s="5" t="s">
        <v>347</v>
      </c>
      <c r="J56" s="5" t="s">
        <v>56</v>
      </c>
      <c r="K56" s="5" t="s">
        <v>57</v>
      </c>
      <c r="L56" s="5" t="s">
        <v>58</v>
      </c>
      <c r="M56" s="5" t="s">
        <v>59</v>
      </c>
      <c r="N56" s="5" t="s">
        <v>60</v>
      </c>
      <c r="O56" s="5" t="s">
        <v>60</v>
      </c>
      <c r="P56" s="5" t="s">
        <v>61</v>
      </c>
      <c r="Q56" s="5" t="s">
        <v>62</v>
      </c>
      <c r="R56" s="5" t="s">
        <v>63</v>
      </c>
      <c r="S56" s="5" t="s">
        <v>64</v>
      </c>
      <c r="T56" s="5" t="s">
        <v>65</v>
      </c>
      <c r="U56" s="5" t="s">
        <v>66</v>
      </c>
      <c r="V56" s="5" t="s">
        <v>354</v>
      </c>
      <c r="W56" s="5" t="s">
        <v>355</v>
      </c>
      <c r="X56" s="5" t="s">
        <v>356</v>
      </c>
      <c r="Y56" s="5" t="s">
        <v>357</v>
      </c>
      <c r="Z56" s="5" t="s">
        <v>71</v>
      </c>
      <c r="AA56" s="5" t="s">
        <v>358</v>
      </c>
      <c r="AB56" s="5" t="s">
        <v>359</v>
      </c>
      <c r="AC56" s="5" t="s">
        <v>360</v>
      </c>
      <c r="AD56" s="5" t="s">
        <v>75</v>
      </c>
      <c r="AE56" s="5" t="s">
        <v>361</v>
      </c>
      <c r="AF56" s="6">
        <v>28000</v>
      </c>
      <c r="AG56" s="7">
        <v>1</v>
      </c>
      <c r="AH56" s="6">
        <v>28000</v>
      </c>
      <c r="AI56" s="5" t="s">
        <v>362</v>
      </c>
      <c r="AJ56" s="10">
        <v>46013</v>
      </c>
      <c r="AK56" s="5" t="s">
        <v>353</v>
      </c>
      <c r="AL56" s="5" t="s">
        <v>79</v>
      </c>
      <c r="AM56" s="5">
        <v>1619409</v>
      </c>
      <c r="AN56" s="5" t="s">
        <v>80</v>
      </c>
      <c r="AO56" s="5">
        <v>1094010</v>
      </c>
      <c r="AP56" s="5" t="s">
        <v>81</v>
      </c>
      <c r="AQ56" s="5" t="s">
        <v>64</v>
      </c>
      <c r="AR56" s="5" t="s">
        <v>356</v>
      </c>
      <c r="AS56" s="5"/>
      <c r="AT56" s="5"/>
      <c r="AU56" s="5"/>
      <c r="AV56" s="5"/>
      <c r="AW56" s="8"/>
      <c r="AX56" t="s">
        <v>1135</v>
      </c>
      <c r="AY56" t="s">
        <v>2152</v>
      </c>
    </row>
    <row r="57" spans="1:51" x14ac:dyDescent="0.35">
      <c r="A57" s="4" t="s">
        <v>48</v>
      </c>
      <c r="B57" s="5" t="s">
        <v>48</v>
      </c>
      <c r="C57" s="5" t="s">
        <v>173</v>
      </c>
      <c r="D57" s="5" t="s">
        <v>50</v>
      </c>
      <c r="E57" s="5" t="s">
        <v>51</v>
      </c>
      <c r="F57" s="5" t="s">
        <v>327</v>
      </c>
      <c r="G57" s="5" t="s">
        <v>53</v>
      </c>
      <c r="H57" s="5" t="s">
        <v>54</v>
      </c>
      <c r="I57" s="5" t="s">
        <v>347</v>
      </c>
      <c r="J57" s="5" t="s">
        <v>56</v>
      </c>
      <c r="K57" s="5" t="s">
        <v>57</v>
      </c>
      <c r="L57" s="5" t="s">
        <v>58</v>
      </c>
      <c r="M57" s="5" t="s">
        <v>59</v>
      </c>
      <c r="N57" s="5" t="s">
        <v>60</v>
      </c>
      <c r="O57" s="5" t="s">
        <v>60</v>
      </c>
      <c r="P57" s="5" t="s">
        <v>61</v>
      </c>
      <c r="Q57" s="5" t="s">
        <v>62</v>
      </c>
      <c r="R57" s="5" t="s">
        <v>63</v>
      </c>
      <c r="S57" s="5" t="s">
        <v>64</v>
      </c>
      <c r="T57" s="5" t="s">
        <v>65</v>
      </c>
      <c r="U57" s="5" t="s">
        <v>66</v>
      </c>
      <c r="V57" s="5" t="s">
        <v>363</v>
      </c>
      <c r="W57" s="5" t="s">
        <v>364</v>
      </c>
      <c r="X57" s="5" t="s">
        <v>207</v>
      </c>
      <c r="Y57" s="5" t="s">
        <v>365</v>
      </c>
      <c r="Z57" s="5" t="s">
        <v>71</v>
      </c>
      <c r="AA57" s="5" t="s">
        <v>366</v>
      </c>
      <c r="AB57" s="5" t="s">
        <v>367</v>
      </c>
      <c r="AC57" s="5" t="s">
        <v>368</v>
      </c>
      <c r="AD57" s="5" t="s">
        <v>75</v>
      </c>
      <c r="AE57" s="5" t="s">
        <v>369</v>
      </c>
      <c r="AF57" s="6">
        <v>35226</v>
      </c>
      <c r="AG57" s="7">
        <v>1</v>
      </c>
      <c r="AH57" s="6">
        <v>35226</v>
      </c>
      <c r="AI57" s="5" t="s">
        <v>370</v>
      </c>
      <c r="AJ57" s="10">
        <v>46013</v>
      </c>
      <c r="AK57" s="5" t="s">
        <v>353</v>
      </c>
      <c r="AL57" s="5" t="s">
        <v>79</v>
      </c>
      <c r="AM57" s="5">
        <v>1619409</v>
      </c>
      <c r="AN57" s="5" t="s">
        <v>80</v>
      </c>
      <c r="AO57" s="5">
        <v>1094010</v>
      </c>
      <c r="AP57" s="5" t="s">
        <v>81</v>
      </c>
      <c r="AQ57" s="5" t="s">
        <v>64</v>
      </c>
      <c r="AR57" s="5" t="s">
        <v>207</v>
      </c>
      <c r="AS57" s="5"/>
      <c r="AT57" s="5"/>
      <c r="AU57" s="5"/>
      <c r="AV57" s="5"/>
      <c r="AW57" s="8"/>
      <c r="AX57" t="s">
        <v>1135</v>
      </c>
      <c r="AY57" t="s">
        <v>2152</v>
      </c>
    </row>
    <row r="58" spans="1:51" x14ac:dyDescent="0.35">
      <c r="A58" s="4" t="s">
        <v>48</v>
      </c>
      <c r="B58" s="5" t="s">
        <v>48</v>
      </c>
      <c r="C58" s="5" t="s">
        <v>371</v>
      </c>
      <c r="D58" s="5" t="s">
        <v>50</v>
      </c>
      <c r="E58" s="5" t="s">
        <v>51</v>
      </c>
      <c r="F58" s="5" t="s">
        <v>327</v>
      </c>
      <c r="G58" s="5" t="s">
        <v>53</v>
      </c>
      <c r="H58" s="5" t="s">
        <v>54</v>
      </c>
      <c r="I58" s="5" t="s">
        <v>372</v>
      </c>
      <c r="J58" s="5" t="s">
        <v>56</v>
      </c>
      <c r="K58" s="5" t="s">
        <v>57</v>
      </c>
      <c r="L58" s="5" t="s">
        <v>58</v>
      </c>
      <c r="M58" s="5" t="s">
        <v>59</v>
      </c>
      <c r="N58" s="5" t="s">
        <v>60</v>
      </c>
      <c r="O58" s="5" t="s">
        <v>60</v>
      </c>
      <c r="P58" s="5" t="s">
        <v>61</v>
      </c>
      <c r="Q58" s="5" t="s">
        <v>62</v>
      </c>
      <c r="R58" s="5" t="s">
        <v>63</v>
      </c>
      <c r="S58" s="5" t="s">
        <v>64</v>
      </c>
      <c r="T58" s="5" t="s">
        <v>65</v>
      </c>
      <c r="U58" s="5" t="s">
        <v>66</v>
      </c>
      <c r="V58" s="5" t="s">
        <v>151</v>
      </c>
      <c r="W58" s="5" t="s">
        <v>152</v>
      </c>
      <c r="X58" s="5" t="s">
        <v>95</v>
      </c>
      <c r="Y58" s="5" t="s">
        <v>153</v>
      </c>
      <c r="Z58" s="5" t="s">
        <v>71</v>
      </c>
      <c r="AA58" s="5" t="s">
        <v>87</v>
      </c>
      <c r="AB58" s="5" t="s">
        <v>88</v>
      </c>
      <c r="AC58" s="5" t="s">
        <v>89</v>
      </c>
      <c r="AD58" s="5" t="s">
        <v>75</v>
      </c>
      <c r="AE58" s="5" t="s">
        <v>97</v>
      </c>
      <c r="AF58" s="6">
        <v>4326</v>
      </c>
      <c r="AG58" s="7">
        <v>1</v>
      </c>
      <c r="AH58" s="6">
        <v>4326</v>
      </c>
      <c r="AI58" s="5" t="s">
        <v>118</v>
      </c>
      <c r="AJ58" s="10">
        <v>46014</v>
      </c>
      <c r="AK58" s="5" t="s">
        <v>373</v>
      </c>
      <c r="AL58" s="5" t="s">
        <v>79</v>
      </c>
      <c r="AM58" s="5">
        <v>1619409</v>
      </c>
      <c r="AN58" s="5" t="s">
        <v>80</v>
      </c>
      <c r="AO58" s="5">
        <v>1094010</v>
      </c>
      <c r="AP58" s="5" t="s">
        <v>81</v>
      </c>
      <c r="AQ58" s="5" t="s">
        <v>64</v>
      </c>
      <c r="AR58" s="5" t="s">
        <v>95</v>
      </c>
      <c r="AS58" s="5"/>
      <c r="AT58" s="5"/>
      <c r="AU58" s="5"/>
      <c r="AV58" s="5"/>
      <c r="AW58" s="8"/>
      <c r="AX58" t="s">
        <v>1135</v>
      </c>
      <c r="AY58" t="s">
        <v>2152</v>
      </c>
    </row>
    <row r="59" spans="1:51" x14ac:dyDescent="0.35">
      <c r="A59" s="4" t="s">
        <v>48</v>
      </c>
      <c r="B59" s="5" t="s">
        <v>48</v>
      </c>
      <c r="C59" s="5" t="s">
        <v>374</v>
      </c>
      <c r="D59" s="5" t="s">
        <v>50</v>
      </c>
      <c r="E59" s="5" t="s">
        <v>51</v>
      </c>
      <c r="F59" s="5" t="s">
        <v>327</v>
      </c>
      <c r="G59" s="5" t="s">
        <v>53</v>
      </c>
      <c r="H59" s="5" t="s">
        <v>54</v>
      </c>
      <c r="I59" s="5" t="s">
        <v>375</v>
      </c>
      <c r="J59" s="5" t="s">
        <v>56</v>
      </c>
      <c r="K59" s="5" t="s">
        <v>57</v>
      </c>
      <c r="L59" s="5" t="s">
        <v>58</v>
      </c>
      <c r="M59" s="5" t="s">
        <v>59</v>
      </c>
      <c r="N59" s="5" t="s">
        <v>60</v>
      </c>
      <c r="O59" s="5" t="s">
        <v>60</v>
      </c>
      <c r="P59" s="5" t="s">
        <v>61</v>
      </c>
      <c r="Q59" s="5" t="s">
        <v>62</v>
      </c>
      <c r="R59" s="5" t="s">
        <v>63</v>
      </c>
      <c r="S59" s="5" t="s">
        <v>64</v>
      </c>
      <c r="T59" s="5" t="s">
        <v>65</v>
      </c>
      <c r="U59" s="5" t="s">
        <v>66</v>
      </c>
      <c r="V59" s="5" t="s">
        <v>376</v>
      </c>
      <c r="W59" s="5" t="s">
        <v>377</v>
      </c>
      <c r="X59" s="5" t="s">
        <v>85</v>
      </c>
      <c r="Y59" s="5" t="s">
        <v>378</v>
      </c>
      <c r="Z59" s="5" t="s">
        <v>71</v>
      </c>
      <c r="AA59" s="5" t="s">
        <v>72</v>
      </c>
      <c r="AB59" s="5" t="s">
        <v>73</v>
      </c>
      <c r="AC59" s="5" t="s">
        <v>74</v>
      </c>
      <c r="AD59" s="5" t="s">
        <v>75</v>
      </c>
      <c r="AE59" s="5" t="s">
        <v>336</v>
      </c>
      <c r="AF59" s="6">
        <v>35818.480000000003</v>
      </c>
      <c r="AG59" s="7">
        <v>1</v>
      </c>
      <c r="AH59" s="6">
        <v>35818.480000000003</v>
      </c>
      <c r="AI59" s="5" t="s">
        <v>379</v>
      </c>
      <c r="AJ59" s="10">
        <v>46015</v>
      </c>
      <c r="AK59" s="5" t="s">
        <v>380</v>
      </c>
      <c r="AL59" s="5" t="s">
        <v>79</v>
      </c>
      <c r="AM59" s="5">
        <v>1619409</v>
      </c>
      <c r="AN59" s="5" t="s">
        <v>80</v>
      </c>
      <c r="AO59" s="5">
        <v>1094010</v>
      </c>
      <c r="AP59" s="5" t="s">
        <v>81</v>
      </c>
      <c r="AQ59" s="5" t="s">
        <v>64</v>
      </c>
      <c r="AR59" s="5" t="s">
        <v>85</v>
      </c>
      <c r="AS59" s="5"/>
      <c r="AT59" s="5"/>
      <c r="AU59" s="5"/>
      <c r="AV59" s="5"/>
      <c r="AW59" s="8"/>
      <c r="AX59" t="s">
        <v>1135</v>
      </c>
      <c r="AY59" t="s">
        <v>2152</v>
      </c>
    </row>
    <row r="60" spans="1:51" x14ac:dyDescent="0.35">
      <c r="A60" s="4" t="s">
        <v>48</v>
      </c>
      <c r="B60" s="5" t="s">
        <v>48</v>
      </c>
      <c r="C60" s="5" t="s">
        <v>374</v>
      </c>
      <c r="D60" s="5" t="s">
        <v>50</v>
      </c>
      <c r="E60" s="5" t="s">
        <v>51</v>
      </c>
      <c r="F60" s="5" t="s">
        <v>327</v>
      </c>
      <c r="G60" s="5" t="s">
        <v>53</v>
      </c>
      <c r="H60" s="5" t="s">
        <v>54</v>
      </c>
      <c r="I60" s="5" t="s">
        <v>375</v>
      </c>
      <c r="J60" s="5" t="s">
        <v>56</v>
      </c>
      <c r="K60" s="5" t="s">
        <v>57</v>
      </c>
      <c r="L60" s="5" t="s">
        <v>58</v>
      </c>
      <c r="M60" s="5" t="s">
        <v>59</v>
      </c>
      <c r="N60" s="5" t="s">
        <v>60</v>
      </c>
      <c r="O60" s="5" t="s">
        <v>60</v>
      </c>
      <c r="P60" s="5" t="s">
        <v>61</v>
      </c>
      <c r="Q60" s="5" t="s">
        <v>62</v>
      </c>
      <c r="R60" s="5" t="s">
        <v>63</v>
      </c>
      <c r="S60" s="5" t="s">
        <v>64</v>
      </c>
      <c r="T60" s="5" t="s">
        <v>65</v>
      </c>
      <c r="U60" s="5" t="s">
        <v>66</v>
      </c>
      <c r="V60" s="5" t="s">
        <v>381</v>
      </c>
      <c r="W60" s="5" t="s">
        <v>382</v>
      </c>
      <c r="X60" s="5" t="s">
        <v>69</v>
      </c>
      <c r="Y60" s="5" t="s">
        <v>383</v>
      </c>
      <c r="Z60" s="5" t="s">
        <v>71</v>
      </c>
      <c r="AA60" s="5" t="s">
        <v>72</v>
      </c>
      <c r="AB60" s="5" t="s">
        <v>73</v>
      </c>
      <c r="AC60" s="5" t="s">
        <v>74</v>
      </c>
      <c r="AD60" s="5" t="s">
        <v>75</v>
      </c>
      <c r="AE60" s="5" t="s">
        <v>336</v>
      </c>
      <c r="AF60" s="6">
        <v>35818.480000000003</v>
      </c>
      <c r="AG60" s="7">
        <v>1</v>
      </c>
      <c r="AH60" s="6">
        <v>35818.480000000003</v>
      </c>
      <c r="AI60" s="5" t="s">
        <v>379</v>
      </c>
      <c r="AJ60" s="10">
        <v>46015</v>
      </c>
      <c r="AK60" s="5" t="s">
        <v>380</v>
      </c>
      <c r="AL60" s="5" t="s">
        <v>79</v>
      </c>
      <c r="AM60" s="5">
        <v>1619409</v>
      </c>
      <c r="AN60" s="5" t="s">
        <v>80</v>
      </c>
      <c r="AO60" s="5">
        <v>1094010</v>
      </c>
      <c r="AP60" s="5" t="s">
        <v>81</v>
      </c>
      <c r="AQ60" s="5" t="s">
        <v>64</v>
      </c>
      <c r="AR60" s="5" t="s">
        <v>69</v>
      </c>
      <c r="AS60" s="5"/>
      <c r="AT60" s="5"/>
      <c r="AU60" s="5"/>
      <c r="AV60" s="5"/>
      <c r="AW60" s="8"/>
      <c r="AX60" t="s">
        <v>1135</v>
      </c>
      <c r="AY60" t="s">
        <v>2152</v>
      </c>
    </row>
    <row r="61" spans="1:51" x14ac:dyDescent="0.35">
      <c r="A61" s="4" t="s">
        <v>48</v>
      </c>
      <c r="B61" s="5" t="s">
        <v>48</v>
      </c>
      <c r="C61" s="5" t="s">
        <v>374</v>
      </c>
      <c r="D61" s="5" t="s">
        <v>50</v>
      </c>
      <c r="E61" s="5" t="s">
        <v>51</v>
      </c>
      <c r="F61" s="5" t="s">
        <v>327</v>
      </c>
      <c r="G61" s="5" t="s">
        <v>53</v>
      </c>
      <c r="H61" s="5" t="s">
        <v>54</v>
      </c>
      <c r="I61" s="5" t="s">
        <v>384</v>
      </c>
      <c r="J61" s="5" t="s">
        <v>56</v>
      </c>
      <c r="K61" s="5" t="s">
        <v>57</v>
      </c>
      <c r="L61" s="5" t="s">
        <v>58</v>
      </c>
      <c r="M61" s="5" t="s">
        <v>59</v>
      </c>
      <c r="N61" s="5" t="s">
        <v>60</v>
      </c>
      <c r="O61" s="5" t="s">
        <v>60</v>
      </c>
      <c r="P61" s="5" t="s">
        <v>61</v>
      </c>
      <c r="Q61" s="5" t="s">
        <v>62</v>
      </c>
      <c r="R61" s="5" t="s">
        <v>63</v>
      </c>
      <c r="S61" s="5" t="s">
        <v>64</v>
      </c>
      <c r="T61" s="5" t="s">
        <v>65</v>
      </c>
      <c r="U61" s="5" t="s">
        <v>66</v>
      </c>
      <c r="V61" s="5" t="s">
        <v>260</v>
      </c>
      <c r="W61" s="5" t="s">
        <v>261</v>
      </c>
      <c r="X61" s="5" t="s">
        <v>168</v>
      </c>
      <c r="Y61" s="5" t="s">
        <v>262</v>
      </c>
      <c r="Z61" s="5" t="s">
        <v>71</v>
      </c>
      <c r="AA61" s="5" t="s">
        <v>87</v>
      </c>
      <c r="AB61" s="5" t="s">
        <v>104</v>
      </c>
      <c r="AC61" s="5" t="s">
        <v>105</v>
      </c>
      <c r="AD61" s="5" t="s">
        <v>75</v>
      </c>
      <c r="AE61" s="5" t="s">
        <v>263</v>
      </c>
      <c r="AF61" s="6">
        <v>2920</v>
      </c>
      <c r="AG61" s="7">
        <v>1</v>
      </c>
      <c r="AH61" s="6">
        <v>2920</v>
      </c>
      <c r="AI61" s="5" t="s">
        <v>193</v>
      </c>
      <c r="AJ61" s="10">
        <v>46015</v>
      </c>
      <c r="AK61" s="5" t="s">
        <v>385</v>
      </c>
      <c r="AL61" s="5" t="s">
        <v>79</v>
      </c>
      <c r="AM61" s="5">
        <v>1619409</v>
      </c>
      <c r="AN61" s="5" t="s">
        <v>80</v>
      </c>
      <c r="AO61" s="5">
        <v>1094010</v>
      </c>
      <c r="AP61" s="5" t="s">
        <v>81</v>
      </c>
      <c r="AQ61" s="5" t="s">
        <v>64</v>
      </c>
      <c r="AR61" s="5" t="s">
        <v>168</v>
      </c>
      <c r="AS61" s="5"/>
      <c r="AT61" s="5"/>
      <c r="AU61" s="5"/>
      <c r="AV61" s="5"/>
      <c r="AW61" s="8"/>
      <c r="AX61" t="s">
        <v>1135</v>
      </c>
      <c r="AY61" t="s">
        <v>2152</v>
      </c>
    </row>
    <row r="62" spans="1:51" x14ac:dyDescent="0.35">
      <c r="A62" s="4" t="s">
        <v>48</v>
      </c>
      <c r="B62" s="5" t="s">
        <v>48</v>
      </c>
      <c r="C62" s="5" t="s">
        <v>386</v>
      </c>
      <c r="D62" s="5" t="s">
        <v>50</v>
      </c>
      <c r="E62" s="5" t="s">
        <v>51</v>
      </c>
      <c r="F62" s="5" t="s">
        <v>387</v>
      </c>
      <c r="G62" s="5" t="s">
        <v>53</v>
      </c>
      <c r="H62" s="5" t="s">
        <v>54</v>
      </c>
      <c r="I62" s="5" t="s">
        <v>388</v>
      </c>
      <c r="J62" s="5" t="s">
        <v>56</v>
      </c>
      <c r="K62" s="5" t="s">
        <v>57</v>
      </c>
      <c r="L62" s="5" t="s">
        <v>58</v>
      </c>
      <c r="M62" s="5" t="s">
        <v>59</v>
      </c>
      <c r="N62" s="5" t="s">
        <v>60</v>
      </c>
      <c r="O62" s="5" t="s">
        <v>60</v>
      </c>
      <c r="P62" s="5" t="s">
        <v>61</v>
      </c>
      <c r="Q62" s="5" t="s">
        <v>62</v>
      </c>
      <c r="R62" s="5" t="s">
        <v>63</v>
      </c>
      <c r="S62" s="5" t="s">
        <v>64</v>
      </c>
      <c r="T62" s="5" t="s">
        <v>65</v>
      </c>
      <c r="U62" s="5" t="s">
        <v>66</v>
      </c>
      <c r="V62" s="5" t="s">
        <v>151</v>
      </c>
      <c r="W62" s="5" t="s">
        <v>389</v>
      </c>
      <c r="X62" s="5" t="s">
        <v>207</v>
      </c>
      <c r="Y62" s="5" t="s">
        <v>153</v>
      </c>
      <c r="Z62" s="5" t="s">
        <v>71</v>
      </c>
      <c r="AA62" s="5" t="s">
        <v>87</v>
      </c>
      <c r="AB62" s="5" t="s">
        <v>88</v>
      </c>
      <c r="AC62" s="5" t="s">
        <v>89</v>
      </c>
      <c r="AD62" s="5" t="s">
        <v>75</v>
      </c>
      <c r="AE62" s="5" t="s">
        <v>97</v>
      </c>
      <c r="AF62" s="6">
        <v>4326</v>
      </c>
      <c r="AG62" s="7">
        <v>1</v>
      </c>
      <c r="AH62" s="6">
        <v>4326</v>
      </c>
      <c r="AI62" s="5" t="s">
        <v>390</v>
      </c>
      <c r="AJ62" s="10">
        <v>46017</v>
      </c>
      <c r="AK62" s="5" t="s">
        <v>391</v>
      </c>
      <c r="AL62" s="5" t="s">
        <v>79</v>
      </c>
      <c r="AM62" s="5">
        <v>1619409</v>
      </c>
      <c r="AN62" s="5" t="s">
        <v>80</v>
      </c>
      <c r="AO62" s="5">
        <v>1094010</v>
      </c>
      <c r="AP62" s="5" t="s">
        <v>81</v>
      </c>
      <c r="AQ62" s="5" t="s">
        <v>64</v>
      </c>
      <c r="AR62" s="5" t="s">
        <v>207</v>
      </c>
      <c r="AS62" s="5"/>
      <c r="AT62" s="5"/>
      <c r="AU62" s="5"/>
      <c r="AV62" s="5"/>
      <c r="AW62" s="8"/>
      <c r="AX62" t="s">
        <v>1135</v>
      </c>
      <c r="AY62" t="s">
        <v>2152</v>
      </c>
    </row>
    <row r="63" spans="1:51" x14ac:dyDescent="0.35">
      <c r="A63" s="4" t="s">
        <v>48</v>
      </c>
      <c r="B63" s="5" t="s">
        <v>48</v>
      </c>
      <c r="C63" s="5" t="s">
        <v>392</v>
      </c>
      <c r="D63" s="5" t="s">
        <v>50</v>
      </c>
      <c r="E63" s="5" t="s">
        <v>51</v>
      </c>
      <c r="F63" s="5" t="s">
        <v>387</v>
      </c>
      <c r="G63" s="5" t="s">
        <v>53</v>
      </c>
      <c r="H63" s="5" t="s">
        <v>54</v>
      </c>
      <c r="I63" s="5" t="s">
        <v>393</v>
      </c>
      <c r="J63" s="5" t="s">
        <v>56</v>
      </c>
      <c r="K63" s="5" t="s">
        <v>57</v>
      </c>
      <c r="L63" s="5" t="s">
        <v>58</v>
      </c>
      <c r="M63" s="5" t="s">
        <v>59</v>
      </c>
      <c r="N63" s="5" t="s">
        <v>60</v>
      </c>
      <c r="O63" s="5" t="s">
        <v>60</v>
      </c>
      <c r="P63" s="5" t="s">
        <v>61</v>
      </c>
      <c r="Q63" s="5" t="s">
        <v>62</v>
      </c>
      <c r="R63" s="5" t="s">
        <v>63</v>
      </c>
      <c r="S63" s="5" t="s">
        <v>64</v>
      </c>
      <c r="T63" s="5" t="s">
        <v>65</v>
      </c>
      <c r="U63" s="5" t="s">
        <v>66</v>
      </c>
      <c r="V63" s="5" t="s">
        <v>144</v>
      </c>
      <c r="W63" s="5" t="s">
        <v>394</v>
      </c>
      <c r="X63" s="5" t="s">
        <v>395</v>
      </c>
      <c r="Y63" s="5" t="s">
        <v>147</v>
      </c>
      <c r="Z63" s="5" t="s">
        <v>71</v>
      </c>
      <c r="AA63" s="5" t="s">
        <v>87</v>
      </c>
      <c r="AB63" s="5" t="s">
        <v>104</v>
      </c>
      <c r="AC63" s="5" t="s">
        <v>105</v>
      </c>
      <c r="AD63" s="5" t="s">
        <v>75</v>
      </c>
      <c r="AE63" s="5" t="s">
        <v>148</v>
      </c>
      <c r="AF63" s="6">
        <v>2920</v>
      </c>
      <c r="AG63" s="7">
        <v>1</v>
      </c>
      <c r="AH63" s="6">
        <v>2920</v>
      </c>
      <c r="AI63" s="5" t="s">
        <v>280</v>
      </c>
      <c r="AJ63" s="10">
        <v>46020</v>
      </c>
      <c r="AK63" s="5" t="s">
        <v>396</v>
      </c>
      <c r="AL63" s="5" t="s">
        <v>79</v>
      </c>
      <c r="AM63" s="5">
        <v>1619409</v>
      </c>
      <c r="AN63" s="5" t="s">
        <v>80</v>
      </c>
      <c r="AO63" s="5">
        <v>1094010</v>
      </c>
      <c r="AP63" s="5" t="s">
        <v>81</v>
      </c>
      <c r="AQ63" s="5" t="s">
        <v>64</v>
      </c>
      <c r="AR63" s="5" t="s">
        <v>395</v>
      </c>
      <c r="AS63" s="5"/>
      <c r="AT63" s="5"/>
      <c r="AU63" s="5"/>
      <c r="AV63" s="5"/>
      <c r="AW63" s="8"/>
      <c r="AX63" t="s">
        <v>1135</v>
      </c>
      <c r="AY63" t="s">
        <v>2152</v>
      </c>
    </row>
    <row r="64" spans="1:51" x14ac:dyDescent="0.35">
      <c r="A64" s="4" t="s">
        <v>48</v>
      </c>
      <c r="B64" s="5" t="s">
        <v>48</v>
      </c>
      <c r="C64" s="5" t="s">
        <v>392</v>
      </c>
      <c r="D64" s="5" t="s">
        <v>50</v>
      </c>
      <c r="E64" s="5" t="s">
        <v>51</v>
      </c>
      <c r="F64" s="5" t="s">
        <v>387</v>
      </c>
      <c r="G64" s="5" t="s">
        <v>53</v>
      </c>
      <c r="H64" s="5" t="s">
        <v>54</v>
      </c>
      <c r="I64" s="5" t="s">
        <v>393</v>
      </c>
      <c r="J64" s="5" t="s">
        <v>56</v>
      </c>
      <c r="K64" s="5" t="s">
        <v>57</v>
      </c>
      <c r="L64" s="5" t="s">
        <v>58</v>
      </c>
      <c r="M64" s="5" t="s">
        <v>59</v>
      </c>
      <c r="N64" s="5" t="s">
        <v>60</v>
      </c>
      <c r="O64" s="5" t="s">
        <v>60</v>
      </c>
      <c r="P64" s="5" t="s">
        <v>61</v>
      </c>
      <c r="Q64" s="5" t="s">
        <v>62</v>
      </c>
      <c r="R64" s="5" t="s">
        <v>63</v>
      </c>
      <c r="S64" s="5" t="s">
        <v>64</v>
      </c>
      <c r="T64" s="5" t="s">
        <v>65</v>
      </c>
      <c r="U64" s="5" t="s">
        <v>66</v>
      </c>
      <c r="V64" s="5" t="s">
        <v>397</v>
      </c>
      <c r="W64" s="5" t="s">
        <v>398</v>
      </c>
      <c r="X64" s="5" t="s">
        <v>218</v>
      </c>
      <c r="Y64" s="5" t="s">
        <v>399</v>
      </c>
      <c r="Z64" s="5" t="s">
        <v>71</v>
      </c>
      <c r="AA64" s="5" t="s">
        <v>72</v>
      </c>
      <c r="AB64" s="5" t="s">
        <v>73</v>
      </c>
      <c r="AC64" s="5" t="s">
        <v>74</v>
      </c>
      <c r="AD64" s="5" t="s">
        <v>75</v>
      </c>
      <c r="AE64" s="5" t="s">
        <v>76</v>
      </c>
      <c r="AF64" s="6">
        <v>35203</v>
      </c>
      <c r="AG64" s="7">
        <v>1</v>
      </c>
      <c r="AH64" s="6">
        <v>35203</v>
      </c>
      <c r="AI64" s="5" t="s">
        <v>224</v>
      </c>
      <c r="AJ64" s="10">
        <v>46020</v>
      </c>
      <c r="AK64" s="5" t="s">
        <v>396</v>
      </c>
      <c r="AL64" s="5" t="s">
        <v>79</v>
      </c>
      <c r="AM64" s="5">
        <v>1619409</v>
      </c>
      <c r="AN64" s="5" t="s">
        <v>80</v>
      </c>
      <c r="AO64" s="5">
        <v>1094010</v>
      </c>
      <c r="AP64" s="5" t="s">
        <v>81</v>
      </c>
      <c r="AQ64" s="5" t="s">
        <v>64</v>
      </c>
      <c r="AR64" s="5" t="s">
        <v>218</v>
      </c>
      <c r="AS64" s="5"/>
      <c r="AT64" s="5"/>
      <c r="AU64" s="5"/>
      <c r="AV64" s="5"/>
      <c r="AW64" s="8"/>
      <c r="AX64" t="s">
        <v>1135</v>
      </c>
      <c r="AY64" t="s">
        <v>2152</v>
      </c>
    </row>
    <row r="65" spans="1:51" x14ac:dyDescent="0.35">
      <c r="A65" s="4" t="s">
        <v>48</v>
      </c>
      <c r="B65" s="5" t="s">
        <v>48</v>
      </c>
      <c r="C65" s="5" t="s">
        <v>392</v>
      </c>
      <c r="D65" s="5" t="s">
        <v>50</v>
      </c>
      <c r="E65" s="5" t="s">
        <v>51</v>
      </c>
      <c r="F65" s="5" t="s">
        <v>387</v>
      </c>
      <c r="G65" s="5" t="s">
        <v>53</v>
      </c>
      <c r="H65" s="5" t="s">
        <v>54</v>
      </c>
      <c r="I65" s="5" t="s">
        <v>400</v>
      </c>
      <c r="J65" s="5" t="s">
        <v>56</v>
      </c>
      <c r="K65" s="5" t="s">
        <v>57</v>
      </c>
      <c r="L65" s="5" t="s">
        <v>58</v>
      </c>
      <c r="M65" s="5" t="s">
        <v>59</v>
      </c>
      <c r="N65" s="5" t="s">
        <v>60</v>
      </c>
      <c r="O65" s="5" t="s">
        <v>60</v>
      </c>
      <c r="P65" s="5" t="s">
        <v>61</v>
      </c>
      <c r="Q65" s="5" t="s">
        <v>62</v>
      </c>
      <c r="R65" s="5" t="s">
        <v>63</v>
      </c>
      <c r="S65" s="5" t="s">
        <v>64</v>
      </c>
      <c r="T65" s="5" t="s">
        <v>65</v>
      </c>
      <c r="U65" s="5" t="s">
        <v>66</v>
      </c>
      <c r="V65" s="5" t="s">
        <v>166</v>
      </c>
      <c r="W65" s="5" t="s">
        <v>401</v>
      </c>
      <c r="X65" s="5" t="s">
        <v>168</v>
      </c>
      <c r="Y65" s="5" t="s">
        <v>169</v>
      </c>
      <c r="Z65" s="5" t="s">
        <v>71</v>
      </c>
      <c r="AA65" s="5" t="s">
        <v>87</v>
      </c>
      <c r="AB65" s="5" t="s">
        <v>104</v>
      </c>
      <c r="AC65" s="5" t="s">
        <v>105</v>
      </c>
      <c r="AD65" s="5" t="s">
        <v>75</v>
      </c>
      <c r="AE65" s="5" t="s">
        <v>170</v>
      </c>
      <c r="AF65" s="6">
        <v>2920</v>
      </c>
      <c r="AG65" s="7">
        <v>1</v>
      </c>
      <c r="AH65" s="6">
        <v>2920</v>
      </c>
      <c r="AI65" s="5" t="s">
        <v>402</v>
      </c>
      <c r="AJ65" s="10">
        <v>46020</v>
      </c>
      <c r="AK65" s="5" t="s">
        <v>403</v>
      </c>
      <c r="AL65" s="5" t="s">
        <v>79</v>
      </c>
      <c r="AM65" s="5">
        <v>1619409</v>
      </c>
      <c r="AN65" s="5" t="s">
        <v>80</v>
      </c>
      <c r="AO65" s="5">
        <v>1094010</v>
      </c>
      <c r="AP65" s="5" t="s">
        <v>81</v>
      </c>
      <c r="AQ65" s="5" t="s">
        <v>64</v>
      </c>
      <c r="AR65" s="5" t="s">
        <v>168</v>
      </c>
      <c r="AS65" s="5"/>
      <c r="AT65" s="5"/>
      <c r="AU65" s="5"/>
      <c r="AV65" s="5"/>
      <c r="AW65" s="8"/>
      <c r="AX65" t="s">
        <v>1135</v>
      </c>
      <c r="AY65" t="s">
        <v>2152</v>
      </c>
    </row>
    <row r="66" spans="1:51" x14ac:dyDescent="0.35">
      <c r="A66" s="4" t="s">
        <v>48</v>
      </c>
      <c r="B66" s="5" t="s">
        <v>48</v>
      </c>
      <c r="C66" s="5" t="s">
        <v>404</v>
      </c>
      <c r="D66" s="5" t="s">
        <v>50</v>
      </c>
      <c r="E66" s="5" t="s">
        <v>51</v>
      </c>
      <c r="F66" s="5" t="s">
        <v>387</v>
      </c>
      <c r="G66" s="5" t="s">
        <v>53</v>
      </c>
      <c r="H66" s="5" t="s">
        <v>54</v>
      </c>
      <c r="I66" s="5" t="s">
        <v>405</v>
      </c>
      <c r="J66" s="5" t="s">
        <v>56</v>
      </c>
      <c r="K66" s="5" t="s">
        <v>57</v>
      </c>
      <c r="L66" s="5" t="s">
        <v>58</v>
      </c>
      <c r="M66" s="5" t="s">
        <v>59</v>
      </c>
      <c r="N66" s="5" t="s">
        <v>60</v>
      </c>
      <c r="O66" s="5" t="s">
        <v>60</v>
      </c>
      <c r="P66" s="5" t="s">
        <v>61</v>
      </c>
      <c r="Q66" s="5" t="s">
        <v>62</v>
      </c>
      <c r="R66" s="5" t="s">
        <v>63</v>
      </c>
      <c r="S66" s="5" t="s">
        <v>64</v>
      </c>
      <c r="T66" s="5" t="s">
        <v>65</v>
      </c>
      <c r="U66" s="5" t="s">
        <v>66</v>
      </c>
      <c r="V66" s="5" t="s">
        <v>406</v>
      </c>
      <c r="W66" s="5" t="s">
        <v>407</v>
      </c>
      <c r="X66" s="5" t="s">
        <v>95</v>
      </c>
      <c r="Y66" s="5" t="s">
        <v>408</v>
      </c>
      <c r="Z66" s="5" t="s">
        <v>71</v>
      </c>
      <c r="AA66" s="5" t="s">
        <v>72</v>
      </c>
      <c r="AB66" s="5" t="s">
        <v>73</v>
      </c>
      <c r="AC66" s="5" t="s">
        <v>74</v>
      </c>
      <c r="AD66" s="5" t="s">
        <v>75</v>
      </c>
      <c r="AE66" s="5" t="s">
        <v>223</v>
      </c>
      <c r="AF66" s="6">
        <v>35818.480000000003</v>
      </c>
      <c r="AG66" s="7">
        <v>1</v>
      </c>
      <c r="AH66" s="6">
        <v>35818.480000000003</v>
      </c>
      <c r="AI66" s="5" t="s">
        <v>409</v>
      </c>
      <c r="AJ66" s="10">
        <v>46021</v>
      </c>
      <c r="AK66" s="5" t="s">
        <v>410</v>
      </c>
      <c r="AL66" s="5" t="s">
        <v>79</v>
      </c>
      <c r="AM66" s="5">
        <v>1619409</v>
      </c>
      <c r="AN66" s="5" t="s">
        <v>80</v>
      </c>
      <c r="AO66" s="5">
        <v>1094010</v>
      </c>
      <c r="AP66" s="5" t="s">
        <v>81</v>
      </c>
      <c r="AQ66" s="5" t="s">
        <v>64</v>
      </c>
      <c r="AR66" s="5" t="s">
        <v>95</v>
      </c>
      <c r="AS66" s="5"/>
      <c r="AT66" s="5"/>
      <c r="AU66" s="5"/>
      <c r="AV66" s="5"/>
      <c r="AW66" s="8"/>
      <c r="AX66" t="s">
        <v>1135</v>
      </c>
      <c r="AY66" t="s">
        <v>2152</v>
      </c>
    </row>
    <row r="67" spans="1:51" x14ac:dyDescent="0.35">
      <c r="A67" s="4" t="s">
        <v>48</v>
      </c>
      <c r="B67" s="5" t="s">
        <v>48</v>
      </c>
      <c r="C67" s="5" t="s">
        <v>404</v>
      </c>
      <c r="D67" s="5" t="s">
        <v>50</v>
      </c>
      <c r="E67" s="5" t="s">
        <v>51</v>
      </c>
      <c r="F67" s="5" t="s">
        <v>387</v>
      </c>
      <c r="G67" s="5" t="s">
        <v>53</v>
      </c>
      <c r="H67" s="5" t="s">
        <v>54</v>
      </c>
      <c r="I67" s="5" t="s">
        <v>411</v>
      </c>
      <c r="J67" s="5" t="s">
        <v>56</v>
      </c>
      <c r="K67" s="5" t="s">
        <v>57</v>
      </c>
      <c r="L67" s="5" t="s">
        <v>58</v>
      </c>
      <c r="M67" s="5" t="s">
        <v>59</v>
      </c>
      <c r="N67" s="5" t="s">
        <v>60</v>
      </c>
      <c r="O67" s="5" t="s">
        <v>60</v>
      </c>
      <c r="P67" s="5" t="s">
        <v>61</v>
      </c>
      <c r="Q67" s="5" t="s">
        <v>62</v>
      </c>
      <c r="R67" s="5" t="s">
        <v>63</v>
      </c>
      <c r="S67" s="5" t="s">
        <v>64</v>
      </c>
      <c r="T67" s="5" t="s">
        <v>65</v>
      </c>
      <c r="U67" s="5" t="s">
        <v>66</v>
      </c>
      <c r="V67" s="5" t="s">
        <v>166</v>
      </c>
      <c r="W67" s="5" t="s">
        <v>401</v>
      </c>
      <c r="X67" s="5" t="s">
        <v>168</v>
      </c>
      <c r="Y67" s="5" t="s">
        <v>169</v>
      </c>
      <c r="Z67" s="5" t="s">
        <v>71</v>
      </c>
      <c r="AA67" s="5" t="s">
        <v>87</v>
      </c>
      <c r="AB67" s="5" t="s">
        <v>104</v>
      </c>
      <c r="AC67" s="5" t="s">
        <v>105</v>
      </c>
      <c r="AD67" s="5" t="s">
        <v>75</v>
      </c>
      <c r="AE67" s="5" t="s">
        <v>170</v>
      </c>
      <c r="AF67" s="6">
        <v>2920</v>
      </c>
      <c r="AG67" s="7">
        <v>1</v>
      </c>
      <c r="AH67" s="6">
        <v>2920</v>
      </c>
      <c r="AI67" s="5" t="s">
        <v>402</v>
      </c>
      <c r="AJ67" s="10">
        <v>46021</v>
      </c>
      <c r="AK67" s="5" t="s">
        <v>412</v>
      </c>
      <c r="AL67" s="5" t="s">
        <v>79</v>
      </c>
      <c r="AM67" s="5">
        <v>1619409</v>
      </c>
      <c r="AN67" s="5" t="s">
        <v>80</v>
      </c>
      <c r="AO67" s="5">
        <v>1094010</v>
      </c>
      <c r="AP67" s="5" t="s">
        <v>81</v>
      </c>
      <c r="AQ67" s="5" t="s">
        <v>64</v>
      </c>
      <c r="AR67" s="5" t="s">
        <v>168</v>
      </c>
      <c r="AS67" s="5"/>
      <c r="AT67" s="5"/>
      <c r="AU67" s="5"/>
      <c r="AV67" s="5"/>
      <c r="AW67" s="8"/>
      <c r="AX67" t="s">
        <v>1135</v>
      </c>
      <c r="AY67" t="s">
        <v>2152</v>
      </c>
    </row>
    <row r="68" spans="1:51" x14ac:dyDescent="0.35">
      <c r="A68" s="4" t="s">
        <v>48</v>
      </c>
      <c r="B68" s="5" t="s">
        <v>48</v>
      </c>
      <c r="C68" s="5" t="s">
        <v>404</v>
      </c>
      <c r="D68" s="5" t="s">
        <v>50</v>
      </c>
      <c r="E68" s="5" t="s">
        <v>51</v>
      </c>
      <c r="F68" s="5" t="s">
        <v>387</v>
      </c>
      <c r="G68" s="5" t="s">
        <v>53</v>
      </c>
      <c r="H68" s="5" t="s">
        <v>54</v>
      </c>
      <c r="I68" s="5" t="s">
        <v>411</v>
      </c>
      <c r="J68" s="5" t="s">
        <v>56</v>
      </c>
      <c r="K68" s="5" t="s">
        <v>57</v>
      </c>
      <c r="L68" s="5" t="s">
        <v>58</v>
      </c>
      <c r="M68" s="5" t="s">
        <v>59</v>
      </c>
      <c r="N68" s="5" t="s">
        <v>60</v>
      </c>
      <c r="O68" s="5" t="s">
        <v>60</v>
      </c>
      <c r="P68" s="5" t="s">
        <v>61</v>
      </c>
      <c r="Q68" s="5" t="s">
        <v>62</v>
      </c>
      <c r="R68" s="5" t="s">
        <v>63</v>
      </c>
      <c r="S68" s="5" t="s">
        <v>64</v>
      </c>
      <c r="T68" s="5" t="s">
        <v>65</v>
      </c>
      <c r="U68" s="5" t="s">
        <v>66</v>
      </c>
      <c r="V68" s="5" t="s">
        <v>413</v>
      </c>
      <c r="W68" s="5" t="s">
        <v>414</v>
      </c>
      <c r="X68" s="5" t="s">
        <v>218</v>
      </c>
      <c r="Y68" s="5" t="s">
        <v>415</v>
      </c>
      <c r="Z68" s="5" t="s">
        <v>71</v>
      </c>
      <c r="AA68" s="5" t="s">
        <v>358</v>
      </c>
      <c r="AB68" s="5" t="s">
        <v>359</v>
      </c>
      <c r="AC68" s="5" t="s">
        <v>360</v>
      </c>
      <c r="AD68" s="5" t="s">
        <v>75</v>
      </c>
      <c r="AE68" s="5" t="s">
        <v>361</v>
      </c>
      <c r="AF68" s="6">
        <v>28840</v>
      </c>
      <c r="AG68" s="7">
        <v>1</v>
      </c>
      <c r="AH68" s="6">
        <v>28840</v>
      </c>
      <c r="AI68" s="5" t="s">
        <v>416</v>
      </c>
      <c r="AJ68" s="10">
        <v>46021</v>
      </c>
      <c r="AK68" s="5" t="s">
        <v>412</v>
      </c>
      <c r="AL68" s="5" t="s">
        <v>79</v>
      </c>
      <c r="AM68" s="5">
        <v>1619409</v>
      </c>
      <c r="AN68" s="5" t="s">
        <v>80</v>
      </c>
      <c r="AO68" s="5">
        <v>1094010</v>
      </c>
      <c r="AP68" s="5" t="s">
        <v>81</v>
      </c>
      <c r="AQ68" s="5" t="s">
        <v>64</v>
      </c>
      <c r="AR68" s="5" t="s">
        <v>218</v>
      </c>
      <c r="AS68" s="5"/>
      <c r="AT68" s="5"/>
      <c r="AU68" s="5"/>
      <c r="AV68" s="5"/>
      <c r="AW68" s="8"/>
      <c r="AX68" t="s">
        <v>1135</v>
      </c>
      <c r="AY68" t="s">
        <v>2152</v>
      </c>
    </row>
    <row r="69" spans="1:51" x14ac:dyDescent="0.35">
      <c r="A69" s="4" t="s">
        <v>48</v>
      </c>
      <c r="B69" s="5" t="s">
        <v>48</v>
      </c>
      <c r="C69" s="5" t="s">
        <v>404</v>
      </c>
      <c r="D69" s="5" t="s">
        <v>50</v>
      </c>
      <c r="E69" s="5" t="s">
        <v>51</v>
      </c>
      <c r="F69" s="5" t="s">
        <v>387</v>
      </c>
      <c r="G69" s="5" t="s">
        <v>53</v>
      </c>
      <c r="H69" s="5" t="s">
        <v>54</v>
      </c>
      <c r="I69" s="5" t="s">
        <v>411</v>
      </c>
      <c r="J69" s="5" t="s">
        <v>56</v>
      </c>
      <c r="K69" s="5" t="s">
        <v>57</v>
      </c>
      <c r="L69" s="5" t="s">
        <v>58</v>
      </c>
      <c r="M69" s="5" t="s">
        <v>59</v>
      </c>
      <c r="N69" s="5" t="s">
        <v>60</v>
      </c>
      <c r="O69" s="5" t="s">
        <v>60</v>
      </c>
      <c r="P69" s="5" t="s">
        <v>61</v>
      </c>
      <c r="Q69" s="5" t="s">
        <v>62</v>
      </c>
      <c r="R69" s="5" t="s">
        <v>63</v>
      </c>
      <c r="S69" s="5" t="s">
        <v>64</v>
      </c>
      <c r="T69" s="5" t="s">
        <v>65</v>
      </c>
      <c r="U69" s="5" t="s">
        <v>66</v>
      </c>
      <c r="V69" s="5" t="s">
        <v>417</v>
      </c>
      <c r="W69" s="5" t="s">
        <v>418</v>
      </c>
      <c r="X69" s="5" t="s">
        <v>129</v>
      </c>
      <c r="Y69" s="5" t="s">
        <v>419</v>
      </c>
      <c r="Z69" s="5" t="s">
        <v>71</v>
      </c>
      <c r="AA69" s="5" t="s">
        <v>72</v>
      </c>
      <c r="AB69" s="5" t="s">
        <v>131</v>
      </c>
      <c r="AC69" s="5" t="s">
        <v>132</v>
      </c>
      <c r="AD69" s="5" t="s">
        <v>75</v>
      </c>
      <c r="AE69" s="5" t="s">
        <v>420</v>
      </c>
      <c r="AF69" s="6">
        <v>16500</v>
      </c>
      <c r="AG69" s="7">
        <v>1</v>
      </c>
      <c r="AH69" s="6">
        <v>16500</v>
      </c>
      <c r="AI69" s="5" t="s">
        <v>421</v>
      </c>
      <c r="AJ69" s="10">
        <v>46021</v>
      </c>
      <c r="AK69" s="5" t="s">
        <v>412</v>
      </c>
      <c r="AL69" s="5" t="s">
        <v>79</v>
      </c>
      <c r="AM69" s="5">
        <v>1619409</v>
      </c>
      <c r="AN69" s="5" t="s">
        <v>80</v>
      </c>
      <c r="AO69" s="5">
        <v>1094010</v>
      </c>
      <c r="AP69" s="5" t="s">
        <v>81</v>
      </c>
      <c r="AQ69" s="5" t="s">
        <v>64</v>
      </c>
      <c r="AR69" s="5" t="s">
        <v>129</v>
      </c>
      <c r="AS69" s="5"/>
      <c r="AT69" s="5"/>
      <c r="AU69" s="5"/>
      <c r="AV69" s="5"/>
      <c r="AW69" s="8"/>
      <c r="AX69" t="s">
        <v>1135</v>
      </c>
      <c r="AY69" t="s">
        <v>2152</v>
      </c>
    </row>
    <row r="70" spans="1:51" x14ac:dyDescent="0.35">
      <c r="A70" s="4" t="s">
        <v>48</v>
      </c>
      <c r="B70" s="5" t="s">
        <v>48</v>
      </c>
      <c r="C70" s="5" t="s">
        <v>404</v>
      </c>
      <c r="D70" s="5" t="s">
        <v>50</v>
      </c>
      <c r="E70" s="5" t="s">
        <v>51</v>
      </c>
      <c r="F70" s="5" t="s">
        <v>387</v>
      </c>
      <c r="G70" s="5" t="s">
        <v>53</v>
      </c>
      <c r="H70" s="5" t="s">
        <v>54</v>
      </c>
      <c r="I70" s="5" t="s">
        <v>422</v>
      </c>
      <c r="J70" s="5" t="s">
        <v>56</v>
      </c>
      <c r="K70" s="5" t="s">
        <v>57</v>
      </c>
      <c r="L70" s="5" t="s">
        <v>58</v>
      </c>
      <c r="M70" s="5" t="s">
        <v>59</v>
      </c>
      <c r="N70" s="5" t="s">
        <v>60</v>
      </c>
      <c r="O70" s="5" t="s">
        <v>60</v>
      </c>
      <c r="P70" s="5" t="s">
        <v>61</v>
      </c>
      <c r="Q70" s="5" t="s">
        <v>62</v>
      </c>
      <c r="R70" s="5" t="s">
        <v>63</v>
      </c>
      <c r="S70" s="5" t="s">
        <v>64</v>
      </c>
      <c r="T70" s="5" t="s">
        <v>65</v>
      </c>
      <c r="U70" s="5" t="s">
        <v>66</v>
      </c>
      <c r="V70" s="5" t="s">
        <v>166</v>
      </c>
      <c r="W70" s="5" t="s">
        <v>192</v>
      </c>
      <c r="X70" s="5" t="s">
        <v>168</v>
      </c>
      <c r="Y70" s="5" t="s">
        <v>169</v>
      </c>
      <c r="Z70" s="5" t="s">
        <v>71</v>
      </c>
      <c r="AA70" s="5" t="s">
        <v>87</v>
      </c>
      <c r="AB70" s="5" t="s">
        <v>104</v>
      </c>
      <c r="AC70" s="5" t="s">
        <v>105</v>
      </c>
      <c r="AD70" s="5" t="s">
        <v>75</v>
      </c>
      <c r="AE70" s="5" t="s">
        <v>170</v>
      </c>
      <c r="AF70" s="6">
        <v>2920</v>
      </c>
      <c r="AG70" s="7">
        <v>1</v>
      </c>
      <c r="AH70" s="6">
        <v>2920</v>
      </c>
      <c r="AI70" s="5" t="s">
        <v>193</v>
      </c>
      <c r="AJ70" s="10">
        <v>46021</v>
      </c>
      <c r="AK70" s="5" t="s">
        <v>423</v>
      </c>
      <c r="AL70" s="5" t="s">
        <v>79</v>
      </c>
      <c r="AM70" s="5">
        <v>1619409</v>
      </c>
      <c r="AN70" s="5" t="s">
        <v>80</v>
      </c>
      <c r="AO70" s="5">
        <v>1094010</v>
      </c>
      <c r="AP70" s="5" t="s">
        <v>81</v>
      </c>
      <c r="AQ70" s="5" t="s">
        <v>64</v>
      </c>
      <c r="AR70" s="5" t="s">
        <v>168</v>
      </c>
      <c r="AS70" s="5"/>
      <c r="AT70" s="5"/>
      <c r="AU70" s="5"/>
      <c r="AV70" s="5"/>
      <c r="AW70" s="8"/>
      <c r="AX70" t="s">
        <v>1135</v>
      </c>
      <c r="AY70" t="s">
        <v>2152</v>
      </c>
    </row>
    <row r="71" spans="1:51" x14ac:dyDescent="0.35">
      <c r="A71" s="4" t="s">
        <v>48</v>
      </c>
      <c r="B71" s="5" t="s">
        <v>48</v>
      </c>
      <c r="C71" s="5" t="s">
        <v>404</v>
      </c>
      <c r="D71" s="5" t="s">
        <v>50</v>
      </c>
      <c r="E71" s="5" t="s">
        <v>51</v>
      </c>
      <c r="F71" s="5" t="s">
        <v>387</v>
      </c>
      <c r="G71" s="5" t="s">
        <v>53</v>
      </c>
      <c r="H71" s="5" t="s">
        <v>54</v>
      </c>
      <c r="I71" s="5" t="s">
        <v>424</v>
      </c>
      <c r="J71" s="5" t="s">
        <v>56</v>
      </c>
      <c r="K71" s="5" t="s">
        <v>57</v>
      </c>
      <c r="L71" s="5" t="s">
        <v>58</v>
      </c>
      <c r="M71" s="5" t="s">
        <v>59</v>
      </c>
      <c r="N71" s="5" t="s">
        <v>60</v>
      </c>
      <c r="O71" s="5" t="s">
        <v>60</v>
      </c>
      <c r="P71" s="5" t="s">
        <v>61</v>
      </c>
      <c r="Q71" s="5" t="s">
        <v>62</v>
      </c>
      <c r="R71" s="5" t="s">
        <v>63</v>
      </c>
      <c r="S71" s="5" t="s">
        <v>64</v>
      </c>
      <c r="T71" s="5" t="s">
        <v>65</v>
      </c>
      <c r="U71" s="5" t="s">
        <v>66</v>
      </c>
      <c r="V71" s="5" t="s">
        <v>166</v>
      </c>
      <c r="W71" s="5" t="s">
        <v>167</v>
      </c>
      <c r="X71" s="5" t="s">
        <v>168</v>
      </c>
      <c r="Y71" s="5" t="s">
        <v>169</v>
      </c>
      <c r="Z71" s="5" t="s">
        <v>71</v>
      </c>
      <c r="AA71" s="5" t="s">
        <v>87</v>
      </c>
      <c r="AB71" s="5" t="s">
        <v>104</v>
      </c>
      <c r="AC71" s="5" t="s">
        <v>105</v>
      </c>
      <c r="AD71" s="5" t="s">
        <v>75</v>
      </c>
      <c r="AE71" s="5" t="s">
        <v>170</v>
      </c>
      <c r="AF71" s="6">
        <v>2920</v>
      </c>
      <c r="AG71" s="7">
        <v>1</v>
      </c>
      <c r="AH71" s="6">
        <v>2920</v>
      </c>
      <c r="AI71" s="5" t="s">
        <v>193</v>
      </c>
      <c r="AJ71" s="10">
        <v>46021</v>
      </c>
      <c r="AK71" s="5" t="s">
        <v>425</v>
      </c>
      <c r="AL71" s="5" t="s">
        <v>79</v>
      </c>
      <c r="AM71" s="5">
        <v>1619409</v>
      </c>
      <c r="AN71" s="5" t="s">
        <v>80</v>
      </c>
      <c r="AO71" s="5">
        <v>1094010</v>
      </c>
      <c r="AP71" s="5" t="s">
        <v>81</v>
      </c>
      <c r="AQ71" s="5" t="s">
        <v>64</v>
      </c>
      <c r="AR71" s="5" t="s">
        <v>168</v>
      </c>
      <c r="AS71" s="5"/>
      <c r="AT71" s="5"/>
      <c r="AU71" s="5"/>
      <c r="AV71" s="5"/>
      <c r="AW71" s="8"/>
      <c r="AX71" t="s">
        <v>1135</v>
      </c>
      <c r="AY71" t="s">
        <v>2152</v>
      </c>
    </row>
    <row r="72" spans="1:51" x14ac:dyDescent="0.35">
      <c r="A72" s="4" t="s">
        <v>48</v>
      </c>
      <c r="B72" s="5" t="s">
        <v>48</v>
      </c>
      <c r="C72" s="5" t="s">
        <v>404</v>
      </c>
      <c r="D72" s="5" t="s">
        <v>50</v>
      </c>
      <c r="E72" s="5" t="s">
        <v>51</v>
      </c>
      <c r="F72" s="5" t="s">
        <v>387</v>
      </c>
      <c r="G72" s="5" t="s">
        <v>53</v>
      </c>
      <c r="H72" s="5" t="s">
        <v>54</v>
      </c>
      <c r="I72" s="5" t="s">
        <v>424</v>
      </c>
      <c r="J72" s="5" t="s">
        <v>56</v>
      </c>
      <c r="K72" s="5" t="s">
        <v>57</v>
      </c>
      <c r="L72" s="5" t="s">
        <v>58</v>
      </c>
      <c r="M72" s="5" t="s">
        <v>59</v>
      </c>
      <c r="N72" s="5" t="s">
        <v>60</v>
      </c>
      <c r="O72" s="5" t="s">
        <v>60</v>
      </c>
      <c r="P72" s="5" t="s">
        <v>61</v>
      </c>
      <c r="Q72" s="5" t="s">
        <v>62</v>
      </c>
      <c r="R72" s="5" t="s">
        <v>63</v>
      </c>
      <c r="S72" s="5" t="s">
        <v>64</v>
      </c>
      <c r="T72" s="5" t="s">
        <v>65</v>
      </c>
      <c r="U72" s="5" t="s">
        <v>66</v>
      </c>
      <c r="V72" s="5" t="s">
        <v>205</v>
      </c>
      <c r="W72" s="5" t="s">
        <v>206</v>
      </c>
      <c r="X72" s="5" t="s">
        <v>207</v>
      </c>
      <c r="Y72" s="5" t="s">
        <v>208</v>
      </c>
      <c r="Z72" s="5" t="s">
        <v>71</v>
      </c>
      <c r="AA72" s="5" t="s">
        <v>72</v>
      </c>
      <c r="AB72" s="5" t="s">
        <v>73</v>
      </c>
      <c r="AC72" s="5" t="s">
        <v>74</v>
      </c>
      <c r="AD72" s="5" t="s">
        <v>75</v>
      </c>
      <c r="AE72" s="5" t="s">
        <v>76</v>
      </c>
      <c r="AF72" s="6">
        <v>35818.480000000003</v>
      </c>
      <c r="AG72" s="7">
        <v>1</v>
      </c>
      <c r="AH72" s="6">
        <v>35818.480000000003</v>
      </c>
      <c r="AI72" s="5" t="s">
        <v>209</v>
      </c>
      <c r="AJ72" s="10">
        <v>46021</v>
      </c>
      <c r="AK72" s="5" t="s">
        <v>425</v>
      </c>
      <c r="AL72" s="5" t="s">
        <v>79</v>
      </c>
      <c r="AM72" s="5">
        <v>1619409</v>
      </c>
      <c r="AN72" s="5" t="s">
        <v>80</v>
      </c>
      <c r="AO72" s="5">
        <v>1094010</v>
      </c>
      <c r="AP72" s="5" t="s">
        <v>81</v>
      </c>
      <c r="AQ72" s="5" t="s">
        <v>64</v>
      </c>
      <c r="AR72" s="5" t="s">
        <v>207</v>
      </c>
      <c r="AS72" s="5"/>
      <c r="AT72" s="5"/>
      <c r="AU72" s="5"/>
      <c r="AV72" s="5"/>
      <c r="AW72" s="8"/>
      <c r="AX72" t="s">
        <v>1135</v>
      </c>
      <c r="AY72" t="s">
        <v>2152</v>
      </c>
    </row>
    <row r="73" spans="1:51" x14ac:dyDescent="0.35">
      <c r="A73" s="4" t="s">
        <v>48</v>
      </c>
      <c r="B73" s="5" t="s">
        <v>48</v>
      </c>
      <c r="C73" s="5" t="s">
        <v>404</v>
      </c>
      <c r="D73" s="5" t="s">
        <v>50</v>
      </c>
      <c r="E73" s="5" t="s">
        <v>51</v>
      </c>
      <c r="F73" s="5" t="s">
        <v>387</v>
      </c>
      <c r="G73" s="5" t="s">
        <v>53</v>
      </c>
      <c r="H73" s="5" t="s">
        <v>54</v>
      </c>
      <c r="I73" s="5" t="s">
        <v>424</v>
      </c>
      <c r="J73" s="5" t="s">
        <v>56</v>
      </c>
      <c r="K73" s="5" t="s">
        <v>57</v>
      </c>
      <c r="L73" s="5" t="s">
        <v>58</v>
      </c>
      <c r="M73" s="5" t="s">
        <v>59</v>
      </c>
      <c r="N73" s="5" t="s">
        <v>60</v>
      </c>
      <c r="O73" s="5" t="s">
        <v>60</v>
      </c>
      <c r="P73" s="5" t="s">
        <v>61</v>
      </c>
      <c r="Q73" s="5" t="s">
        <v>62</v>
      </c>
      <c r="R73" s="5" t="s">
        <v>63</v>
      </c>
      <c r="S73" s="5" t="s">
        <v>64</v>
      </c>
      <c r="T73" s="5" t="s">
        <v>65</v>
      </c>
      <c r="U73" s="5" t="s">
        <v>66</v>
      </c>
      <c r="V73" s="5" t="s">
        <v>426</v>
      </c>
      <c r="W73" s="5" t="s">
        <v>427</v>
      </c>
      <c r="X73" s="5" t="s">
        <v>428</v>
      </c>
      <c r="Y73" s="5" t="s">
        <v>429</v>
      </c>
      <c r="Z73" s="5" t="s">
        <v>71</v>
      </c>
      <c r="AA73" s="5" t="s">
        <v>72</v>
      </c>
      <c r="AB73" s="5" t="s">
        <v>73</v>
      </c>
      <c r="AC73" s="5" t="s">
        <v>74</v>
      </c>
      <c r="AD73" s="5" t="s">
        <v>75</v>
      </c>
      <c r="AE73" s="5" t="s">
        <v>158</v>
      </c>
      <c r="AF73" s="6">
        <v>35203.86</v>
      </c>
      <c r="AG73" s="7">
        <v>1</v>
      </c>
      <c r="AH73" s="6">
        <v>35203.86</v>
      </c>
      <c r="AI73" s="5" t="s">
        <v>321</v>
      </c>
      <c r="AJ73" s="10">
        <v>46021</v>
      </c>
      <c r="AK73" s="5" t="s">
        <v>425</v>
      </c>
      <c r="AL73" s="5" t="s">
        <v>79</v>
      </c>
      <c r="AM73" s="5">
        <v>1619409</v>
      </c>
      <c r="AN73" s="5" t="s">
        <v>80</v>
      </c>
      <c r="AO73" s="5">
        <v>1094010</v>
      </c>
      <c r="AP73" s="5" t="s">
        <v>81</v>
      </c>
      <c r="AQ73" s="5" t="s">
        <v>64</v>
      </c>
      <c r="AR73" s="5" t="s">
        <v>428</v>
      </c>
      <c r="AS73" s="5"/>
      <c r="AT73" s="5"/>
      <c r="AU73" s="5"/>
      <c r="AV73" s="5"/>
      <c r="AW73" s="8"/>
      <c r="AX73" t="s">
        <v>1135</v>
      </c>
      <c r="AY73" t="s">
        <v>2152</v>
      </c>
    </row>
    <row r="74" spans="1:51" x14ac:dyDescent="0.35">
      <c r="A74" s="4" t="s">
        <v>48</v>
      </c>
      <c r="B74" s="5" t="s">
        <v>48</v>
      </c>
      <c r="C74" s="5" t="s">
        <v>404</v>
      </c>
      <c r="D74" s="5" t="s">
        <v>50</v>
      </c>
      <c r="E74" s="5" t="s">
        <v>51</v>
      </c>
      <c r="F74" s="5" t="s">
        <v>430</v>
      </c>
      <c r="G74" s="5" t="s">
        <v>53</v>
      </c>
      <c r="H74" s="5" t="s">
        <v>54</v>
      </c>
      <c r="I74" s="5" t="s">
        <v>431</v>
      </c>
      <c r="J74" s="5" t="s">
        <v>56</v>
      </c>
      <c r="K74" s="5" t="s">
        <v>57</v>
      </c>
      <c r="L74" s="5" t="s">
        <v>58</v>
      </c>
      <c r="M74" s="5" t="s">
        <v>59</v>
      </c>
      <c r="N74" s="5" t="s">
        <v>60</v>
      </c>
      <c r="O74" s="5" t="s">
        <v>60</v>
      </c>
      <c r="P74" s="5" t="s">
        <v>61</v>
      </c>
      <c r="Q74" s="5" t="s">
        <v>62</v>
      </c>
      <c r="R74" s="5" t="s">
        <v>63</v>
      </c>
      <c r="S74" s="5" t="s">
        <v>64</v>
      </c>
      <c r="T74" s="5" t="s">
        <v>65</v>
      </c>
      <c r="U74" s="5" t="s">
        <v>66</v>
      </c>
      <c r="V74" s="5" t="s">
        <v>432</v>
      </c>
      <c r="W74" s="5" t="s">
        <v>433</v>
      </c>
      <c r="X74" s="5" t="s">
        <v>434</v>
      </c>
      <c r="Y74" s="5" t="s">
        <v>435</v>
      </c>
      <c r="Z74" s="5" t="s">
        <v>71</v>
      </c>
      <c r="AA74" s="5" t="s">
        <v>72</v>
      </c>
      <c r="AB74" s="5" t="s">
        <v>73</v>
      </c>
      <c r="AC74" s="5" t="s">
        <v>74</v>
      </c>
      <c r="AD74" s="5" t="s">
        <v>75</v>
      </c>
      <c r="AE74" s="5" t="s">
        <v>300</v>
      </c>
      <c r="AF74" s="6">
        <v>35818.480000000003</v>
      </c>
      <c r="AG74" s="7">
        <v>1</v>
      </c>
      <c r="AH74" s="6">
        <v>35818.480000000003</v>
      </c>
      <c r="AI74" s="5" t="s">
        <v>436</v>
      </c>
      <c r="AJ74" s="10">
        <v>46021</v>
      </c>
      <c r="AK74" s="5" t="s">
        <v>311</v>
      </c>
      <c r="AL74" s="5" t="s">
        <v>79</v>
      </c>
      <c r="AM74" s="5">
        <v>1619409</v>
      </c>
      <c r="AN74" s="5" t="s">
        <v>80</v>
      </c>
      <c r="AO74" s="5">
        <v>1094010</v>
      </c>
      <c r="AP74" s="5" t="s">
        <v>81</v>
      </c>
      <c r="AQ74" s="5" t="s">
        <v>64</v>
      </c>
      <c r="AR74" s="5" t="s">
        <v>434</v>
      </c>
      <c r="AS74" s="5"/>
      <c r="AT74" s="5"/>
      <c r="AU74" s="5"/>
      <c r="AV74" s="5"/>
      <c r="AW74" s="8"/>
      <c r="AX74" t="s">
        <v>1135</v>
      </c>
      <c r="AY74" t="s">
        <v>2152</v>
      </c>
    </row>
    <row r="75" spans="1:51" x14ac:dyDescent="0.35">
      <c r="A75" s="4" t="s">
        <v>48</v>
      </c>
      <c r="B75" s="5" t="s">
        <v>48</v>
      </c>
      <c r="C75" s="5" t="s">
        <v>437</v>
      </c>
      <c r="D75" s="5" t="s">
        <v>50</v>
      </c>
      <c r="E75" s="5" t="s">
        <v>51</v>
      </c>
      <c r="F75" s="5" t="s">
        <v>387</v>
      </c>
      <c r="G75" s="5" t="s">
        <v>53</v>
      </c>
      <c r="H75" s="5" t="s">
        <v>54</v>
      </c>
      <c r="I75" s="5" t="s">
        <v>438</v>
      </c>
      <c r="J75" s="5" t="s">
        <v>56</v>
      </c>
      <c r="K75" s="5" t="s">
        <v>57</v>
      </c>
      <c r="L75" s="5" t="s">
        <v>58</v>
      </c>
      <c r="M75" s="5" t="s">
        <v>59</v>
      </c>
      <c r="N75" s="5" t="s">
        <v>60</v>
      </c>
      <c r="O75" s="5" t="s">
        <v>60</v>
      </c>
      <c r="P75" s="5" t="s">
        <v>61</v>
      </c>
      <c r="Q75" s="5" t="s">
        <v>62</v>
      </c>
      <c r="R75" s="5" t="s">
        <v>63</v>
      </c>
      <c r="S75" s="5" t="s">
        <v>64</v>
      </c>
      <c r="T75" s="5" t="s">
        <v>65</v>
      </c>
      <c r="U75" s="5" t="s">
        <v>66</v>
      </c>
      <c r="V75" s="5" t="s">
        <v>426</v>
      </c>
      <c r="W75" s="5" t="s">
        <v>439</v>
      </c>
      <c r="X75" s="5" t="s">
        <v>129</v>
      </c>
      <c r="Y75" s="5" t="s">
        <v>429</v>
      </c>
      <c r="Z75" s="5" t="s">
        <v>71</v>
      </c>
      <c r="AA75" s="5" t="s">
        <v>72</v>
      </c>
      <c r="AB75" s="5" t="s">
        <v>73</v>
      </c>
      <c r="AC75" s="5" t="s">
        <v>74</v>
      </c>
      <c r="AD75" s="5" t="s">
        <v>75</v>
      </c>
      <c r="AE75" s="5" t="s">
        <v>158</v>
      </c>
      <c r="AF75" s="6">
        <v>35818.480000000003</v>
      </c>
      <c r="AG75" s="7">
        <v>1</v>
      </c>
      <c r="AH75" s="6">
        <v>35818.480000000003</v>
      </c>
      <c r="AI75" s="5" t="s">
        <v>134</v>
      </c>
      <c r="AJ75" s="10">
        <v>46022</v>
      </c>
      <c r="AK75" s="5" t="s">
        <v>440</v>
      </c>
      <c r="AL75" s="5" t="s">
        <v>79</v>
      </c>
      <c r="AM75" s="5">
        <v>1619409</v>
      </c>
      <c r="AN75" s="5" t="s">
        <v>80</v>
      </c>
      <c r="AO75" s="5">
        <v>1094010</v>
      </c>
      <c r="AP75" s="5" t="s">
        <v>81</v>
      </c>
      <c r="AQ75" s="5" t="s">
        <v>64</v>
      </c>
      <c r="AR75" s="5" t="s">
        <v>129</v>
      </c>
      <c r="AS75" s="5"/>
      <c r="AT75" s="5"/>
      <c r="AU75" s="5"/>
      <c r="AV75" s="5"/>
      <c r="AX75" s="8" t="s">
        <v>2160</v>
      </c>
      <c r="AY75" t="s">
        <v>2152</v>
      </c>
    </row>
    <row r="76" spans="1:51" x14ac:dyDescent="0.35">
      <c r="A76" s="4" t="s">
        <v>441</v>
      </c>
      <c r="B76" s="5" t="s">
        <v>441</v>
      </c>
      <c r="C76" s="5" t="s">
        <v>442</v>
      </c>
      <c r="D76" s="5" t="s">
        <v>50</v>
      </c>
      <c r="E76" s="5" t="s">
        <v>51</v>
      </c>
      <c r="F76" s="5" t="s">
        <v>443</v>
      </c>
      <c r="G76" s="5" t="s">
        <v>53</v>
      </c>
      <c r="H76" s="5" t="s">
        <v>54</v>
      </c>
      <c r="I76" s="5" t="s">
        <v>444</v>
      </c>
      <c r="J76" s="5" t="s">
        <v>56</v>
      </c>
      <c r="K76" s="5" t="s">
        <v>57</v>
      </c>
      <c r="L76" s="5" t="s">
        <v>58</v>
      </c>
      <c r="M76" s="5" t="s">
        <v>59</v>
      </c>
      <c r="N76" s="5" t="s">
        <v>60</v>
      </c>
      <c r="O76" s="5" t="s">
        <v>60</v>
      </c>
      <c r="P76" s="5" t="s">
        <v>61</v>
      </c>
      <c r="Q76" s="5" t="s">
        <v>62</v>
      </c>
      <c r="R76" s="5" t="s">
        <v>63</v>
      </c>
      <c r="S76" s="5" t="s">
        <v>64</v>
      </c>
      <c r="T76" s="5" t="s">
        <v>65</v>
      </c>
      <c r="U76" s="5" t="s">
        <v>66</v>
      </c>
      <c r="V76" s="5" t="s">
        <v>166</v>
      </c>
      <c r="W76" s="5" t="s">
        <v>445</v>
      </c>
      <c r="X76" s="5" t="s">
        <v>350</v>
      </c>
      <c r="Y76" s="5" t="s">
        <v>169</v>
      </c>
      <c r="Z76" s="5" t="s">
        <v>71</v>
      </c>
      <c r="AA76" s="5" t="s">
        <v>87</v>
      </c>
      <c r="AB76" s="5" t="s">
        <v>104</v>
      </c>
      <c r="AC76" s="5" t="s">
        <v>105</v>
      </c>
      <c r="AD76" s="5" t="s">
        <v>75</v>
      </c>
      <c r="AE76" s="5" t="s">
        <v>170</v>
      </c>
      <c r="AF76" s="6">
        <v>2920</v>
      </c>
      <c r="AG76" s="7">
        <v>1</v>
      </c>
      <c r="AH76" s="6">
        <v>2920</v>
      </c>
      <c r="AI76" s="5" t="s">
        <v>154</v>
      </c>
      <c r="AJ76" s="10">
        <v>45962</v>
      </c>
      <c r="AK76" s="5" t="s">
        <v>446</v>
      </c>
      <c r="AL76" s="5" t="s">
        <v>79</v>
      </c>
      <c r="AM76" s="5">
        <v>1619409</v>
      </c>
      <c r="AN76" s="5" t="s">
        <v>80</v>
      </c>
      <c r="AO76" s="5">
        <v>1094010</v>
      </c>
      <c r="AP76" s="5" t="s">
        <v>81</v>
      </c>
      <c r="AQ76" s="5" t="s">
        <v>64</v>
      </c>
      <c r="AR76" s="5" t="s">
        <v>350</v>
      </c>
      <c r="AS76" s="5"/>
      <c r="AT76" s="5"/>
      <c r="AU76" s="5"/>
      <c r="AV76" s="5"/>
      <c r="AW76" s="8"/>
      <c r="AX76" t="s">
        <v>1135</v>
      </c>
      <c r="AY76" t="s">
        <v>2152</v>
      </c>
    </row>
    <row r="77" spans="1:51" x14ac:dyDescent="0.35">
      <c r="A77" s="4" t="s">
        <v>441</v>
      </c>
      <c r="B77" s="5" t="s">
        <v>441</v>
      </c>
      <c r="C77" s="5" t="s">
        <v>447</v>
      </c>
      <c r="D77" s="5" t="s">
        <v>50</v>
      </c>
      <c r="E77" s="5" t="s">
        <v>51</v>
      </c>
      <c r="F77" s="5" t="s">
        <v>443</v>
      </c>
      <c r="G77" s="5" t="s">
        <v>53</v>
      </c>
      <c r="H77" s="5" t="s">
        <v>54</v>
      </c>
      <c r="I77" s="5" t="s">
        <v>448</v>
      </c>
      <c r="J77" s="5" t="s">
        <v>56</v>
      </c>
      <c r="K77" s="5" t="s">
        <v>57</v>
      </c>
      <c r="L77" s="5" t="s">
        <v>58</v>
      </c>
      <c r="M77" s="5" t="s">
        <v>59</v>
      </c>
      <c r="N77" s="5" t="s">
        <v>60</v>
      </c>
      <c r="O77" s="5" t="s">
        <v>60</v>
      </c>
      <c r="P77" s="5" t="s">
        <v>61</v>
      </c>
      <c r="Q77" s="5" t="s">
        <v>62</v>
      </c>
      <c r="R77" s="5" t="s">
        <v>63</v>
      </c>
      <c r="S77" s="5" t="s">
        <v>64</v>
      </c>
      <c r="T77" s="5" t="s">
        <v>65</v>
      </c>
      <c r="U77" s="5" t="s">
        <v>66</v>
      </c>
      <c r="V77" s="5" t="s">
        <v>260</v>
      </c>
      <c r="W77" s="5" t="s">
        <v>449</v>
      </c>
      <c r="X77" s="5" t="s">
        <v>450</v>
      </c>
      <c r="Y77" s="5" t="s">
        <v>262</v>
      </c>
      <c r="Z77" s="5" t="s">
        <v>71</v>
      </c>
      <c r="AA77" s="5" t="s">
        <v>87</v>
      </c>
      <c r="AB77" s="5" t="s">
        <v>104</v>
      </c>
      <c r="AC77" s="5" t="s">
        <v>105</v>
      </c>
      <c r="AD77" s="5" t="s">
        <v>75</v>
      </c>
      <c r="AE77" s="5" t="s">
        <v>263</v>
      </c>
      <c r="AF77" s="6">
        <v>2920</v>
      </c>
      <c r="AG77" s="7">
        <v>1</v>
      </c>
      <c r="AH77" s="6">
        <v>2920</v>
      </c>
      <c r="AI77" s="5" t="s">
        <v>416</v>
      </c>
      <c r="AJ77" s="10">
        <v>45964</v>
      </c>
      <c r="AK77" s="5" t="s">
        <v>451</v>
      </c>
      <c r="AL77" s="5" t="s">
        <v>79</v>
      </c>
      <c r="AM77" s="5">
        <v>1619409</v>
      </c>
      <c r="AN77" s="5" t="s">
        <v>80</v>
      </c>
      <c r="AO77" s="5">
        <v>1094010</v>
      </c>
      <c r="AP77" s="5" t="s">
        <v>81</v>
      </c>
      <c r="AQ77" s="5" t="s">
        <v>64</v>
      </c>
      <c r="AR77" s="5" t="s">
        <v>450</v>
      </c>
      <c r="AS77" s="5"/>
      <c r="AT77" s="5"/>
      <c r="AU77" s="5"/>
      <c r="AV77" s="5"/>
      <c r="AW77" s="8"/>
      <c r="AX77" t="s">
        <v>1135</v>
      </c>
      <c r="AY77" t="s">
        <v>2152</v>
      </c>
    </row>
    <row r="78" spans="1:51" x14ac:dyDescent="0.35">
      <c r="A78" s="4" t="s">
        <v>441</v>
      </c>
      <c r="B78" s="5" t="s">
        <v>441</v>
      </c>
      <c r="C78" s="5" t="s">
        <v>447</v>
      </c>
      <c r="D78" s="5" t="s">
        <v>50</v>
      </c>
      <c r="E78" s="5" t="s">
        <v>51</v>
      </c>
      <c r="F78" s="5" t="s">
        <v>443</v>
      </c>
      <c r="G78" s="5" t="s">
        <v>53</v>
      </c>
      <c r="H78" s="5" t="s">
        <v>54</v>
      </c>
      <c r="I78" s="5" t="s">
        <v>448</v>
      </c>
      <c r="J78" s="5" t="s">
        <v>56</v>
      </c>
      <c r="K78" s="5" t="s">
        <v>57</v>
      </c>
      <c r="L78" s="5" t="s">
        <v>58</v>
      </c>
      <c r="M78" s="5" t="s">
        <v>59</v>
      </c>
      <c r="N78" s="5" t="s">
        <v>60</v>
      </c>
      <c r="O78" s="5" t="s">
        <v>60</v>
      </c>
      <c r="P78" s="5" t="s">
        <v>61</v>
      </c>
      <c r="Q78" s="5" t="s">
        <v>62</v>
      </c>
      <c r="R78" s="5" t="s">
        <v>63</v>
      </c>
      <c r="S78" s="5" t="s">
        <v>64</v>
      </c>
      <c r="T78" s="5" t="s">
        <v>65</v>
      </c>
      <c r="U78" s="5" t="s">
        <v>66</v>
      </c>
      <c r="V78" s="5" t="s">
        <v>220</v>
      </c>
      <c r="W78" s="5" t="s">
        <v>452</v>
      </c>
      <c r="X78" s="5" t="s">
        <v>453</v>
      </c>
      <c r="Y78" s="5" t="s">
        <v>222</v>
      </c>
      <c r="Z78" s="5" t="s">
        <v>71</v>
      </c>
      <c r="AA78" s="5" t="s">
        <v>72</v>
      </c>
      <c r="AB78" s="5" t="s">
        <v>73</v>
      </c>
      <c r="AC78" s="5" t="s">
        <v>74</v>
      </c>
      <c r="AD78" s="5" t="s">
        <v>75</v>
      </c>
      <c r="AE78" s="5" t="s">
        <v>223</v>
      </c>
      <c r="AF78" s="6">
        <v>35203.86</v>
      </c>
      <c r="AG78" s="7">
        <v>1</v>
      </c>
      <c r="AH78" s="6">
        <v>35203.86</v>
      </c>
      <c r="AI78" s="5" t="s">
        <v>454</v>
      </c>
      <c r="AJ78" s="10">
        <v>45964</v>
      </c>
      <c r="AK78" s="5" t="s">
        <v>451</v>
      </c>
      <c r="AL78" s="5" t="s">
        <v>79</v>
      </c>
      <c r="AM78" s="5">
        <v>1619409</v>
      </c>
      <c r="AN78" s="5" t="s">
        <v>80</v>
      </c>
      <c r="AO78" s="5">
        <v>1094010</v>
      </c>
      <c r="AP78" s="5" t="s">
        <v>81</v>
      </c>
      <c r="AQ78" s="5" t="s">
        <v>64</v>
      </c>
      <c r="AR78" s="5" t="s">
        <v>453</v>
      </c>
      <c r="AS78" s="5"/>
      <c r="AT78" s="5"/>
      <c r="AU78" s="5"/>
      <c r="AV78" s="5"/>
      <c r="AW78" s="8"/>
      <c r="AX78" t="s">
        <v>1135</v>
      </c>
      <c r="AY78" t="s">
        <v>2152</v>
      </c>
    </row>
    <row r="79" spans="1:51" x14ac:dyDescent="0.35">
      <c r="A79" s="4" t="s">
        <v>441</v>
      </c>
      <c r="B79" s="5" t="s">
        <v>441</v>
      </c>
      <c r="C79" s="5" t="s">
        <v>447</v>
      </c>
      <c r="D79" s="5" t="s">
        <v>50</v>
      </c>
      <c r="E79" s="5" t="s">
        <v>51</v>
      </c>
      <c r="F79" s="5" t="s">
        <v>455</v>
      </c>
      <c r="G79" s="5" t="s">
        <v>53</v>
      </c>
      <c r="H79" s="5" t="s">
        <v>54</v>
      </c>
      <c r="I79" s="5" t="s">
        <v>456</v>
      </c>
      <c r="J79" s="5" t="s">
        <v>56</v>
      </c>
      <c r="K79" s="5" t="s">
        <v>57</v>
      </c>
      <c r="L79" s="5" t="s">
        <v>58</v>
      </c>
      <c r="M79" s="5" t="s">
        <v>59</v>
      </c>
      <c r="N79" s="5" t="s">
        <v>60</v>
      </c>
      <c r="O79" s="5" t="s">
        <v>60</v>
      </c>
      <c r="P79" s="5" t="s">
        <v>61</v>
      </c>
      <c r="Q79" s="5" t="s">
        <v>62</v>
      </c>
      <c r="R79" s="5" t="s">
        <v>63</v>
      </c>
      <c r="S79" s="5" t="s">
        <v>64</v>
      </c>
      <c r="T79" s="5" t="s">
        <v>65</v>
      </c>
      <c r="U79" s="5" t="s">
        <v>66</v>
      </c>
      <c r="V79" s="5" t="s">
        <v>457</v>
      </c>
      <c r="W79" s="5" t="s">
        <v>458</v>
      </c>
      <c r="X79" s="5" t="s">
        <v>459</v>
      </c>
      <c r="Y79" s="5" t="s">
        <v>460</v>
      </c>
      <c r="Z79" s="5" t="s">
        <v>71</v>
      </c>
      <c r="AA79" s="5" t="s">
        <v>72</v>
      </c>
      <c r="AB79" s="5" t="s">
        <v>73</v>
      </c>
      <c r="AC79" s="5" t="s">
        <v>74</v>
      </c>
      <c r="AD79" s="5" t="s">
        <v>75</v>
      </c>
      <c r="AE79" s="5" t="s">
        <v>158</v>
      </c>
      <c r="AF79" s="6">
        <v>35203.86</v>
      </c>
      <c r="AG79" s="7">
        <v>1</v>
      </c>
      <c r="AH79" s="6">
        <v>35203.86</v>
      </c>
      <c r="AI79" s="5" t="s">
        <v>321</v>
      </c>
      <c r="AJ79" s="10">
        <v>45964</v>
      </c>
      <c r="AK79" s="5" t="s">
        <v>451</v>
      </c>
      <c r="AL79" s="5" t="s">
        <v>79</v>
      </c>
      <c r="AM79" s="5">
        <v>1619409</v>
      </c>
      <c r="AN79" s="5" t="s">
        <v>80</v>
      </c>
      <c r="AO79" s="5">
        <v>1094010</v>
      </c>
      <c r="AP79" s="5" t="s">
        <v>81</v>
      </c>
      <c r="AQ79" s="5" t="s">
        <v>64</v>
      </c>
      <c r="AR79" s="5" t="s">
        <v>459</v>
      </c>
      <c r="AS79" s="5"/>
      <c r="AT79" s="5"/>
      <c r="AU79" s="5"/>
      <c r="AV79" s="5"/>
      <c r="AW79" s="8"/>
      <c r="AX79" t="s">
        <v>1135</v>
      </c>
      <c r="AY79" t="s">
        <v>2152</v>
      </c>
    </row>
    <row r="80" spans="1:51" x14ac:dyDescent="0.35">
      <c r="A80" s="4" t="s">
        <v>441</v>
      </c>
      <c r="B80" s="5" t="s">
        <v>441</v>
      </c>
      <c r="C80" s="5" t="s">
        <v>461</v>
      </c>
      <c r="D80" s="5" t="s">
        <v>50</v>
      </c>
      <c r="E80" s="5" t="s">
        <v>51</v>
      </c>
      <c r="F80" s="5" t="s">
        <v>443</v>
      </c>
      <c r="G80" s="5" t="s">
        <v>53</v>
      </c>
      <c r="H80" s="5" t="s">
        <v>54</v>
      </c>
      <c r="I80" s="5" t="s">
        <v>462</v>
      </c>
      <c r="J80" s="5" t="s">
        <v>56</v>
      </c>
      <c r="K80" s="5" t="s">
        <v>57</v>
      </c>
      <c r="L80" s="5" t="s">
        <v>58</v>
      </c>
      <c r="M80" s="5" t="s">
        <v>59</v>
      </c>
      <c r="N80" s="5" t="s">
        <v>60</v>
      </c>
      <c r="O80" s="5" t="s">
        <v>60</v>
      </c>
      <c r="P80" s="5" t="s">
        <v>61</v>
      </c>
      <c r="Q80" s="5" t="s">
        <v>62</v>
      </c>
      <c r="R80" s="5" t="s">
        <v>63</v>
      </c>
      <c r="S80" s="5" t="s">
        <v>64</v>
      </c>
      <c r="T80" s="5" t="s">
        <v>65</v>
      </c>
      <c r="U80" s="5" t="s">
        <v>66</v>
      </c>
      <c r="V80" s="5" t="s">
        <v>463</v>
      </c>
      <c r="W80" s="5" t="s">
        <v>464</v>
      </c>
      <c r="X80" s="5" t="s">
        <v>465</v>
      </c>
      <c r="Y80" s="5" t="s">
        <v>466</v>
      </c>
      <c r="Z80" s="5" t="s">
        <v>71</v>
      </c>
      <c r="AA80" s="5" t="s">
        <v>87</v>
      </c>
      <c r="AB80" s="5" t="s">
        <v>88</v>
      </c>
      <c r="AC80" s="5" t="s">
        <v>89</v>
      </c>
      <c r="AD80" s="5" t="s">
        <v>75</v>
      </c>
      <c r="AE80" s="5" t="s">
        <v>243</v>
      </c>
      <c r="AF80" s="6">
        <v>4000</v>
      </c>
      <c r="AG80" s="7">
        <v>1</v>
      </c>
      <c r="AH80" s="6">
        <v>4000</v>
      </c>
      <c r="AI80" s="5" t="s">
        <v>467</v>
      </c>
      <c r="AJ80" s="10">
        <v>45966</v>
      </c>
      <c r="AK80" s="5" t="s">
        <v>468</v>
      </c>
      <c r="AL80" s="5" t="s">
        <v>79</v>
      </c>
      <c r="AM80" s="5">
        <v>1619409</v>
      </c>
      <c r="AN80" s="5" t="s">
        <v>80</v>
      </c>
      <c r="AO80" s="5">
        <v>1094010</v>
      </c>
      <c r="AP80" s="5" t="s">
        <v>81</v>
      </c>
      <c r="AQ80" s="5" t="s">
        <v>64</v>
      </c>
      <c r="AR80" s="5" t="s">
        <v>465</v>
      </c>
      <c r="AS80" s="5"/>
      <c r="AT80" s="5"/>
      <c r="AU80" s="5"/>
      <c r="AV80" s="5"/>
      <c r="AW80" s="8"/>
      <c r="AX80" t="s">
        <v>1135</v>
      </c>
      <c r="AY80" t="s">
        <v>2152</v>
      </c>
    </row>
    <row r="81" spans="1:51" x14ac:dyDescent="0.35">
      <c r="A81" s="4" t="s">
        <v>441</v>
      </c>
      <c r="B81" s="5" t="s">
        <v>441</v>
      </c>
      <c r="C81" s="5" t="s">
        <v>461</v>
      </c>
      <c r="D81" s="5" t="s">
        <v>50</v>
      </c>
      <c r="E81" s="5" t="s">
        <v>51</v>
      </c>
      <c r="F81" s="5" t="s">
        <v>443</v>
      </c>
      <c r="G81" s="5" t="s">
        <v>53</v>
      </c>
      <c r="H81" s="5" t="s">
        <v>54</v>
      </c>
      <c r="I81" s="5" t="s">
        <v>469</v>
      </c>
      <c r="J81" s="5" t="s">
        <v>56</v>
      </c>
      <c r="K81" s="5" t="s">
        <v>57</v>
      </c>
      <c r="L81" s="5" t="s">
        <v>58</v>
      </c>
      <c r="M81" s="5" t="s">
        <v>59</v>
      </c>
      <c r="N81" s="5" t="s">
        <v>60</v>
      </c>
      <c r="O81" s="5" t="s">
        <v>60</v>
      </c>
      <c r="P81" s="5" t="s">
        <v>61</v>
      </c>
      <c r="Q81" s="5" t="s">
        <v>62</v>
      </c>
      <c r="R81" s="5" t="s">
        <v>63</v>
      </c>
      <c r="S81" s="5" t="s">
        <v>64</v>
      </c>
      <c r="T81" s="5" t="s">
        <v>65</v>
      </c>
      <c r="U81" s="5" t="s">
        <v>66</v>
      </c>
      <c r="V81" s="5" t="s">
        <v>166</v>
      </c>
      <c r="W81" s="5" t="s">
        <v>470</v>
      </c>
      <c r="X81" s="5" t="s">
        <v>450</v>
      </c>
      <c r="Y81" s="5" t="s">
        <v>169</v>
      </c>
      <c r="Z81" s="5" t="s">
        <v>71</v>
      </c>
      <c r="AA81" s="5" t="s">
        <v>87</v>
      </c>
      <c r="AB81" s="5" t="s">
        <v>104</v>
      </c>
      <c r="AC81" s="5" t="s">
        <v>105</v>
      </c>
      <c r="AD81" s="5" t="s">
        <v>75</v>
      </c>
      <c r="AE81" s="5" t="s">
        <v>170</v>
      </c>
      <c r="AF81" s="6">
        <v>2920</v>
      </c>
      <c r="AG81" s="7">
        <v>1</v>
      </c>
      <c r="AH81" s="6">
        <v>2920</v>
      </c>
      <c r="AI81" s="5" t="s">
        <v>416</v>
      </c>
      <c r="AJ81" s="10">
        <v>45966</v>
      </c>
      <c r="AK81" s="5" t="s">
        <v>471</v>
      </c>
      <c r="AL81" s="5" t="s">
        <v>79</v>
      </c>
      <c r="AM81" s="5">
        <v>1619409</v>
      </c>
      <c r="AN81" s="5" t="s">
        <v>80</v>
      </c>
      <c r="AO81" s="5">
        <v>1094010</v>
      </c>
      <c r="AP81" s="5" t="s">
        <v>81</v>
      </c>
      <c r="AQ81" s="5" t="s">
        <v>64</v>
      </c>
      <c r="AR81" s="5" t="s">
        <v>450</v>
      </c>
      <c r="AS81" s="5"/>
      <c r="AT81" s="5"/>
      <c r="AU81" s="5"/>
      <c r="AV81" s="5"/>
      <c r="AW81" s="8"/>
      <c r="AX81" t="s">
        <v>1135</v>
      </c>
      <c r="AY81" t="s">
        <v>2152</v>
      </c>
    </row>
    <row r="82" spans="1:51" x14ac:dyDescent="0.35">
      <c r="A82" s="4" t="s">
        <v>441</v>
      </c>
      <c r="B82" s="5" t="s">
        <v>441</v>
      </c>
      <c r="C82" s="5" t="s">
        <v>461</v>
      </c>
      <c r="D82" s="5" t="s">
        <v>50</v>
      </c>
      <c r="E82" s="5" t="s">
        <v>51</v>
      </c>
      <c r="F82" s="5" t="s">
        <v>443</v>
      </c>
      <c r="G82" s="5" t="s">
        <v>53</v>
      </c>
      <c r="H82" s="5" t="s">
        <v>54</v>
      </c>
      <c r="I82" s="5" t="s">
        <v>469</v>
      </c>
      <c r="J82" s="5" t="s">
        <v>56</v>
      </c>
      <c r="K82" s="5" t="s">
        <v>57</v>
      </c>
      <c r="L82" s="5" t="s">
        <v>58</v>
      </c>
      <c r="M82" s="5" t="s">
        <v>59</v>
      </c>
      <c r="N82" s="5" t="s">
        <v>60</v>
      </c>
      <c r="O82" s="5" t="s">
        <v>60</v>
      </c>
      <c r="P82" s="5" t="s">
        <v>61</v>
      </c>
      <c r="Q82" s="5" t="s">
        <v>62</v>
      </c>
      <c r="R82" s="5" t="s">
        <v>63</v>
      </c>
      <c r="S82" s="5" t="s">
        <v>64</v>
      </c>
      <c r="T82" s="5" t="s">
        <v>65</v>
      </c>
      <c r="U82" s="5" t="s">
        <v>66</v>
      </c>
      <c r="V82" s="5" t="s">
        <v>472</v>
      </c>
      <c r="W82" s="5" t="s">
        <v>473</v>
      </c>
      <c r="X82" s="5" t="s">
        <v>207</v>
      </c>
      <c r="Y82" s="5" t="s">
        <v>474</v>
      </c>
      <c r="Z82" s="5" t="s">
        <v>71</v>
      </c>
      <c r="AA82" s="5" t="s">
        <v>87</v>
      </c>
      <c r="AB82" s="5" t="s">
        <v>88</v>
      </c>
      <c r="AC82" s="5" t="s">
        <v>89</v>
      </c>
      <c r="AD82" s="5" t="s">
        <v>75</v>
      </c>
      <c r="AE82" s="5" t="s">
        <v>124</v>
      </c>
      <c r="AF82" s="6">
        <v>4326</v>
      </c>
      <c r="AG82" s="7">
        <v>1</v>
      </c>
      <c r="AH82" s="6">
        <v>4326</v>
      </c>
      <c r="AI82" s="5" t="s">
        <v>118</v>
      </c>
      <c r="AJ82" s="10">
        <v>45966</v>
      </c>
      <c r="AK82" s="5" t="s">
        <v>471</v>
      </c>
      <c r="AL82" s="5" t="s">
        <v>79</v>
      </c>
      <c r="AM82" s="5">
        <v>1619409</v>
      </c>
      <c r="AN82" s="5" t="s">
        <v>80</v>
      </c>
      <c r="AO82" s="5">
        <v>1094010</v>
      </c>
      <c r="AP82" s="5" t="s">
        <v>81</v>
      </c>
      <c r="AQ82" s="5" t="s">
        <v>64</v>
      </c>
      <c r="AR82" s="5" t="s">
        <v>207</v>
      </c>
      <c r="AS82" s="5"/>
      <c r="AT82" s="5"/>
      <c r="AU82" s="5"/>
      <c r="AV82" s="5"/>
      <c r="AW82" s="8"/>
      <c r="AX82" t="s">
        <v>1135</v>
      </c>
      <c r="AY82" t="s">
        <v>2152</v>
      </c>
    </row>
    <row r="83" spans="1:51" x14ac:dyDescent="0.35">
      <c r="A83" s="4" t="s">
        <v>441</v>
      </c>
      <c r="B83" s="5" t="s">
        <v>441</v>
      </c>
      <c r="C83" s="5" t="s">
        <v>475</v>
      </c>
      <c r="D83" s="5" t="s">
        <v>50</v>
      </c>
      <c r="E83" s="5" t="s">
        <v>51</v>
      </c>
      <c r="F83" s="5" t="s">
        <v>476</v>
      </c>
      <c r="G83" s="5" t="s">
        <v>53</v>
      </c>
      <c r="H83" s="5" t="s">
        <v>54</v>
      </c>
      <c r="I83" s="5" t="s">
        <v>477</v>
      </c>
      <c r="J83" s="5" t="s">
        <v>56</v>
      </c>
      <c r="K83" s="5" t="s">
        <v>57</v>
      </c>
      <c r="L83" s="5" t="s">
        <v>58</v>
      </c>
      <c r="M83" s="5" t="s">
        <v>59</v>
      </c>
      <c r="N83" s="5" t="s">
        <v>60</v>
      </c>
      <c r="O83" s="5" t="s">
        <v>60</v>
      </c>
      <c r="P83" s="5" t="s">
        <v>61</v>
      </c>
      <c r="Q83" s="5" t="s">
        <v>62</v>
      </c>
      <c r="R83" s="5" t="s">
        <v>63</v>
      </c>
      <c r="S83" s="5" t="s">
        <v>64</v>
      </c>
      <c r="T83" s="5" t="s">
        <v>65</v>
      </c>
      <c r="U83" s="5" t="s">
        <v>66</v>
      </c>
      <c r="V83" s="5" t="s">
        <v>478</v>
      </c>
      <c r="W83" s="5" t="s">
        <v>479</v>
      </c>
      <c r="X83" s="5" t="s">
        <v>162</v>
      </c>
      <c r="Y83" s="5" t="s">
        <v>480</v>
      </c>
      <c r="Z83" s="5" t="s">
        <v>71</v>
      </c>
      <c r="AA83" s="5" t="s">
        <v>87</v>
      </c>
      <c r="AB83" s="5" t="s">
        <v>88</v>
      </c>
      <c r="AC83" s="5" t="s">
        <v>89</v>
      </c>
      <c r="AD83" s="5" t="s">
        <v>75</v>
      </c>
      <c r="AE83" s="5" t="s">
        <v>124</v>
      </c>
      <c r="AF83" s="6">
        <v>4326</v>
      </c>
      <c r="AG83" s="7">
        <v>1</v>
      </c>
      <c r="AH83" s="6">
        <v>4326</v>
      </c>
      <c r="AI83" s="5" t="s">
        <v>118</v>
      </c>
      <c r="AJ83" s="10">
        <v>45967</v>
      </c>
      <c r="AK83" s="5" t="s">
        <v>481</v>
      </c>
      <c r="AL83" s="5" t="s">
        <v>79</v>
      </c>
      <c r="AM83" s="5">
        <v>1619409</v>
      </c>
      <c r="AN83" s="5" t="s">
        <v>80</v>
      </c>
      <c r="AO83" s="5">
        <v>1094010</v>
      </c>
      <c r="AP83" s="5" t="s">
        <v>81</v>
      </c>
      <c r="AQ83" s="5" t="s">
        <v>64</v>
      </c>
      <c r="AR83" s="5" t="s">
        <v>162</v>
      </c>
      <c r="AS83" s="5"/>
      <c r="AT83" s="5"/>
      <c r="AU83" s="5"/>
      <c r="AV83" s="5"/>
      <c r="AW83" s="8"/>
      <c r="AX83" t="s">
        <v>1135</v>
      </c>
      <c r="AY83" t="s">
        <v>2152</v>
      </c>
    </row>
    <row r="84" spans="1:51" x14ac:dyDescent="0.35">
      <c r="A84" s="4" t="s">
        <v>441</v>
      </c>
      <c r="B84" s="5" t="s">
        <v>441</v>
      </c>
      <c r="C84" s="5" t="s">
        <v>475</v>
      </c>
      <c r="D84" s="5" t="s">
        <v>50</v>
      </c>
      <c r="E84" s="5" t="s">
        <v>51</v>
      </c>
      <c r="F84" s="5" t="s">
        <v>476</v>
      </c>
      <c r="G84" s="5" t="s">
        <v>53</v>
      </c>
      <c r="H84" s="5" t="s">
        <v>54</v>
      </c>
      <c r="I84" s="5" t="s">
        <v>482</v>
      </c>
      <c r="J84" s="5" t="s">
        <v>56</v>
      </c>
      <c r="K84" s="5" t="s">
        <v>57</v>
      </c>
      <c r="L84" s="5" t="s">
        <v>58</v>
      </c>
      <c r="M84" s="5" t="s">
        <v>59</v>
      </c>
      <c r="N84" s="5" t="s">
        <v>60</v>
      </c>
      <c r="O84" s="5" t="s">
        <v>60</v>
      </c>
      <c r="P84" s="5" t="s">
        <v>61</v>
      </c>
      <c r="Q84" s="5" t="s">
        <v>62</v>
      </c>
      <c r="R84" s="5" t="s">
        <v>63</v>
      </c>
      <c r="S84" s="5" t="s">
        <v>64</v>
      </c>
      <c r="T84" s="5" t="s">
        <v>65</v>
      </c>
      <c r="U84" s="5" t="s">
        <v>66</v>
      </c>
      <c r="V84" s="5" t="s">
        <v>166</v>
      </c>
      <c r="W84" s="5" t="s">
        <v>483</v>
      </c>
      <c r="X84" s="5" t="s">
        <v>146</v>
      </c>
      <c r="Y84" s="5" t="s">
        <v>169</v>
      </c>
      <c r="Z84" s="5" t="s">
        <v>71</v>
      </c>
      <c r="AA84" s="5" t="s">
        <v>87</v>
      </c>
      <c r="AB84" s="5" t="s">
        <v>104</v>
      </c>
      <c r="AC84" s="5" t="s">
        <v>105</v>
      </c>
      <c r="AD84" s="5" t="s">
        <v>75</v>
      </c>
      <c r="AE84" s="5" t="s">
        <v>170</v>
      </c>
      <c r="AF84" s="6">
        <v>2920</v>
      </c>
      <c r="AG84" s="7">
        <v>1</v>
      </c>
      <c r="AH84" s="6">
        <v>2920</v>
      </c>
      <c r="AI84" s="5" t="s">
        <v>316</v>
      </c>
      <c r="AJ84" s="10">
        <v>45967</v>
      </c>
      <c r="AK84" s="5" t="s">
        <v>484</v>
      </c>
      <c r="AL84" s="5" t="s">
        <v>79</v>
      </c>
      <c r="AM84" s="5">
        <v>1619409</v>
      </c>
      <c r="AN84" s="5" t="s">
        <v>80</v>
      </c>
      <c r="AO84" s="5">
        <v>1094010</v>
      </c>
      <c r="AP84" s="5" t="s">
        <v>81</v>
      </c>
      <c r="AQ84" s="5" t="s">
        <v>64</v>
      </c>
      <c r="AR84" s="5" t="s">
        <v>146</v>
      </c>
      <c r="AS84" s="5"/>
      <c r="AT84" s="5"/>
      <c r="AU84" s="5"/>
      <c r="AV84" s="5"/>
      <c r="AW84" s="8"/>
      <c r="AX84" t="s">
        <v>1135</v>
      </c>
      <c r="AY84" t="s">
        <v>2152</v>
      </c>
    </row>
    <row r="85" spans="1:51" x14ac:dyDescent="0.35">
      <c r="A85" s="4" t="s">
        <v>441</v>
      </c>
      <c r="B85" s="5" t="s">
        <v>441</v>
      </c>
      <c r="C85" s="5" t="s">
        <v>475</v>
      </c>
      <c r="D85" s="5" t="s">
        <v>50</v>
      </c>
      <c r="E85" s="5" t="s">
        <v>51</v>
      </c>
      <c r="F85" s="5" t="s">
        <v>476</v>
      </c>
      <c r="G85" s="5" t="s">
        <v>53</v>
      </c>
      <c r="H85" s="5" t="s">
        <v>54</v>
      </c>
      <c r="I85" s="5" t="s">
        <v>482</v>
      </c>
      <c r="J85" s="5" t="s">
        <v>56</v>
      </c>
      <c r="K85" s="5" t="s">
        <v>57</v>
      </c>
      <c r="L85" s="5" t="s">
        <v>58</v>
      </c>
      <c r="M85" s="5" t="s">
        <v>59</v>
      </c>
      <c r="N85" s="5" t="s">
        <v>60</v>
      </c>
      <c r="O85" s="5" t="s">
        <v>60</v>
      </c>
      <c r="P85" s="5" t="s">
        <v>61</v>
      </c>
      <c r="Q85" s="5" t="s">
        <v>62</v>
      </c>
      <c r="R85" s="5" t="s">
        <v>63</v>
      </c>
      <c r="S85" s="5" t="s">
        <v>64</v>
      </c>
      <c r="T85" s="5" t="s">
        <v>65</v>
      </c>
      <c r="U85" s="5" t="s">
        <v>66</v>
      </c>
      <c r="V85" s="5" t="s">
        <v>485</v>
      </c>
      <c r="W85" s="5" t="s">
        <v>486</v>
      </c>
      <c r="X85" s="5" t="s">
        <v>69</v>
      </c>
      <c r="Y85" s="5" t="s">
        <v>487</v>
      </c>
      <c r="Z85" s="5" t="s">
        <v>71</v>
      </c>
      <c r="AA85" s="5" t="s">
        <v>358</v>
      </c>
      <c r="AB85" s="5" t="s">
        <v>359</v>
      </c>
      <c r="AC85" s="5" t="s">
        <v>360</v>
      </c>
      <c r="AD85" s="5" t="s">
        <v>75</v>
      </c>
      <c r="AE85" s="5" t="s">
        <v>361</v>
      </c>
      <c r="AF85" s="6">
        <v>28840</v>
      </c>
      <c r="AG85" s="7">
        <v>1</v>
      </c>
      <c r="AH85" s="6">
        <v>28840</v>
      </c>
      <c r="AI85" s="5" t="s">
        <v>488</v>
      </c>
      <c r="AJ85" s="10">
        <v>45967</v>
      </c>
      <c r="AK85" s="5" t="s">
        <v>484</v>
      </c>
      <c r="AL85" s="5" t="s">
        <v>79</v>
      </c>
      <c r="AM85" s="5">
        <v>1619409</v>
      </c>
      <c r="AN85" s="5" t="s">
        <v>80</v>
      </c>
      <c r="AO85" s="5">
        <v>1094010</v>
      </c>
      <c r="AP85" s="5" t="s">
        <v>81</v>
      </c>
      <c r="AQ85" s="5" t="s">
        <v>64</v>
      </c>
      <c r="AR85" s="5" t="s">
        <v>69</v>
      </c>
      <c r="AS85" s="5"/>
      <c r="AT85" s="5"/>
      <c r="AU85" s="5"/>
      <c r="AV85" s="5"/>
      <c r="AW85" s="8"/>
      <c r="AX85" t="s">
        <v>1135</v>
      </c>
      <c r="AY85" t="s">
        <v>2152</v>
      </c>
    </row>
    <row r="86" spans="1:51" x14ac:dyDescent="0.35">
      <c r="A86" s="4" t="s">
        <v>441</v>
      </c>
      <c r="B86" s="5" t="s">
        <v>441</v>
      </c>
      <c r="C86" s="5" t="s">
        <v>475</v>
      </c>
      <c r="D86" s="5" t="s">
        <v>50</v>
      </c>
      <c r="E86" s="5" t="s">
        <v>51</v>
      </c>
      <c r="F86" s="5" t="s">
        <v>476</v>
      </c>
      <c r="G86" s="5" t="s">
        <v>53</v>
      </c>
      <c r="H86" s="5" t="s">
        <v>54</v>
      </c>
      <c r="I86" s="5" t="s">
        <v>489</v>
      </c>
      <c r="J86" s="5" t="s">
        <v>56</v>
      </c>
      <c r="K86" s="5" t="s">
        <v>57</v>
      </c>
      <c r="L86" s="5" t="s">
        <v>58</v>
      </c>
      <c r="M86" s="5" t="s">
        <v>59</v>
      </c>
      <c r="N86" s="5" t="s">
        <v>60</v>
      </c>
      <c r="O86" s="5" t="s">
        <v>60</v>
      </c>
      <c r="P86" s="5" t="s">
        <v>61</v>
      </c>
      <c r="Q86" s="5" t="s">
        <v>62</v>
      </c>
      <c r="R86" s="5" t="s">
        <v>63</v>
      </c>
      <c r="S86" s="5" t="s">
        <v>64</v>
      </c>
      <c r="T86" s="5" t="s">
        <v>65</v>
      </c>
      <c r="U86" s="5" t="s">
        <v>66</v>
      </c>
      <c r="V86" s="5" t="s">
        <v>490</v>
      </c>
      <c r="W86" s="5" t="s">
        <v>491</v>
      </c>
      <c r="X86" s="5" t="s">
        <v>492</v>
      </c>
      <c r="Y86" s="5" t="s">
        <v>493</v>
      </c>
      <c r="Z86" s="5" t="s">
        <v>71</v>
      </c>
      <c r="AA86" s="5" t="s">
        <v>87</v>
      </c>
      <c r="AB86" s="5" t="s">
        <v>104</v>
      </c>
      <c r="AC86" s="5" t="s">
        <v>105</v>
      </c>
      <c r="AD86" s="5" t="s">
        <v>75</v>
      </c>
      <c r="AE86" s="5" t="s">
        <v>170</v>
      </c>
      <c r="AF86" s="6">
        <v>2920</v>
      </c>
      <c r="AG86" s="7">
        <v>1</v>
      </c>
      <c r="AH86" s="6">
        <v>2920</v>
      </c>
      <c r="AI86" s="5" t="s">
        <v>494</v>
      </c>
      <c r="AJ86" s="10">
        <v>45967</v>
      </c>
      <c r="AK86" s="5" t="s">
        <v>495</v>
      </c>
      <c r="AL86" s="5" t="s">
        <v>79</v>
      </c>
      <c r="AM86" s="5">
        <v>1619409</v>
      </c>
      <c r="AN86" s="5" t="s">
        <v>80</v>
      </c>
      <c r="AO86" s="5">
        <v>1094010</v>
      </c>
      <c r="AP86" s="5" t="s">
        <v>81</v>
      </c>
      <c r="AQ86" s="5" t="s">
        <v>64</v>
      </c>
      <c r="AR86" s="5" t="s">
        <v>492</v>
      </c>
      <c r="AS86" s="5"/>
      <c r="AT86" s="5"/>
      <c r="AU86" s="5"/>
      <c r="AV86" s="5"/>
      <c r="AW86" s="8"/>
      <c r="AX86" t="s">
        <v>1135</v>
      </c>
      <c r="AY86" t="s">
        <v>2152</v>
      </c>
    </row>
    <row r="87" spans="1:51" x14ac:dyDescent="0.35">
      <c r="A87" s="4" t="s">
        <v>441</v>
      </c>
      <c r="B87" s="5" t="s">
        <v>441</v>
      </c>
      <c r="C87" s="5" t="s">
        <v>475</v>
      </c>
      <c r="D87" s="5" t="s">
        <v>50</v>
      </c>
      <c r="E87" s="5" t="s">
        <v>51</v>
      </c>
      <c r="F87" s="5" t="s">
        <v>476</v>
      </c>
      <c r="G87" s="5" t="s">
        <v>53</v>
      </c>
      <c r="H87" s="5" t="s">
        <v>54</v>
      </c>
      <c r="I87" s="5" t="s">
        <v>489</v>
      </c>
      <c r="J87" s="5" t="s">
        <v>56</v>
      </c>
      <c r="K87" s="5" t="s">
        <v>57</v>
      </c>
      <c r="L87" s="5" t="s">
        <v>58</v>
      </c>
      <c r="M87" s="5" t="s">
        <v>59</v>
      </c>
      <c r="N87" s="5" t="s">
        <v>60</v>
      </c>
      <c r="O87" s="5" t="s">
        <v>60</v>
      </c>
      <c r="P87" s="5" t="s">
        <v>61</v>
      </c>
      <c r="Q87" s="5" t="s">
        <v>62</v>
      </c>
      <c r="R87" s="5" t="s">
        <v>63</v>
      </c>
      <c r="S87" s="5" t="s">
        <v>64</v>
      </c>
      <c r="T87" s="5" t="s">
        <v>65</v>
      </c>
      <c r="U87" s="5" t="s">
        <v>66</v>
      </c>
      <c r="V87" s="5" t="s">
        <v>472</v>
      </c>
      <c r="W87" s="5" t="s">
        <v>496</v>
      </c>
      <c r="X87" s="5" t="s">
        <v>207</v>
      </c>
      <c r="Y87" s="5" t="s">
        <v>474</v>
      </c>
      <c r="Z87" s="5" t="s">
        <v>71</v>
      </c>
      <c r="AA87" s="5" t="s">
        <v>87</v>
      </c>
      <c r="AB87" s="5" t="s">
        <v>88</v>
      </c>
      <c r="AC87" s="5" t="s">
        <v>89</v>
      </c>
      <c r="AD87" s="5" t="s">
        <v>75</v>
      </c>
      <c r="AE87" s="5" t="s">
        <v>124</v>
      </c>
      <c r="AF87" s="6">
        <v>4326</v>
      </c>
      <c r="AG87" s="7">
        <v>1</v>
      </c>
      <c r="AH87" s="6">
        <v>4326</v>
      </c>
      <c r="AI87" s="5" t="s">
        <v>118</v>
      </c>
      <c r="AJ87" s="10">
        <v>45967</v>
      </c>
      <c r="AK87" s="5" t="s">
        <v>495</v>
      </c>
      <c r="AL87" s="5" t="s">
        <v>79</v>
      </c>
      <c r="AM87" s="5">
        <v>1619409</v>
      </c>
      <c r="AN87" s="5" t="s">
        <v>80</v>
      </c>
      <c r="AO87" s="5">
        <v>1094010</v>
      </c>
      <c r="AP87" s="5" t="s">
        <v>81</v>
      </c>
      <c r="AQ87" s="5" t="s">
        <v>64</v>
      </c>
      <c r="AR87" s="5" t="s">
        <v>207</v>
      </c>
      <c r="AS87" s="5"/>
      <c r="AT87" s="5"/>
      <c r="AU87" s="5"/>
      <c r="AV87" s="5"/>
      <c r="AW87" s="8"/>
      <c r="AX87" t="s">
        <v>1135</v>
      </c>
      <c r="AY87" t="s">
        <v>2152</v>
      </c>
    </row>
    <row r="88" spans="1:51" x14ac:dyDescent="0.35">
      <c r="A88" s="4" t="s">
        <v>441</v>
      </c>
      <c r="B88" s="5" t="s">
        <v>441</v>
      </c>
      <c r="C88" s="5" t="s">
        <v>443</v>
      </c>
      <c r="D88" s="5" t="s">
        <v>50</v>
      </c>
      <c r="E88" s="5" t="s">
        <v>51</v>
      </c>
      <c r="F88" s="5" t="s">
        <v>476</v>
      </c>
      <c r="G88" s="5" t="s">
        <v>53</v>
      </c>
      <c r="H88" s="5" t="s">
        <v>54</v>
      </c>
      <c r="I88" s="5" t="s">
        <v>497</v>
      </c>
      <c r="J88" s="5" t="s">
        <v>56</v>
      </c>
      <c r="K88" s="5" t="s">
        <v>57</v>
      </c>
      <c r="L88" s="5" t="s">
        <v>58</v>
      </c>
      <c r="M88" s="5" t="s">
        <v>59</v>
      </c>
      <c r="N88" s="5" t="s">
        <v>60</v>
      </c>
      <c r="O88" s="5" t="s">
        <v>60</v>
      </c>
      <c r="P88" s="5" t="s">
        <v>61</v>
      </c>
      <c r="Q88" s="5" t="s">
        <v>62</v>
      </c>
      <c r="R88" s="5" t="s">
        <v>63</v>
      </c>
      <c r="S88" s="5" t="s">
        <v>64</v>
      </c>
      <c r="T88" s="5" t="s">
        <v>65</v>
      </c>
      <c r="U88" s="5" t="s">
        <v>66</v>
      </c>
      <c r="V88" s="5" t="s">
        <v>498</v>
      </c>
      <c r="W88" s="5" t="s">
        <v>499</v>
      </c>
      <c r="X88" s="5" t="s">
        <v>207</v>
      </c>
      <c r="Y88" s="5" t="s">
        <v>500</v>
      </c>
      <c r="Z88" s="5" t="s">
        <v>71</v>
      </c>
      <c r="AA88" s="5" t="s">
        <v>87</v>
      </c>
      <c r="AB88" s="5" t="s">
        <v>88</v>
      </c>
      <c r="AC88" s="5" t="s">
        <v>89</v>
      </c>
      <c r="AD88" s="5" t="s">
        <v>75</v>
      </c>
      <c r="AE88" s="5" t="s">
        <v>124</v>
      </c>
      <c r="AF88" s="6">
        <v>4326</v>
      </c>
      <c r="AG88" s="7">
        <v>1</v>
      </c>
      <c r="AH88" s="6">
        <v>4326</v>
      </c>
      <c r="AI88" s="5" t="s">
        <v>98</v>
      </c>
      <c r="AJ88" s="10">
        <v>45968</v>
      </c>
      <c r="AK88" s="5" t="s">
        <v>501</v>
      </c>
      <c r="AL88" s="5" t="s">
        <v>79</v>
      </c>
      <c r="AM88" s="5">
        <v>1619409</v>
      </c>
      <c r="AN88" s="5" t="s">
        <v>80</v>
      </c>
      <c r="AO88" s="5">
        <v>1094010</v>
      </c>
      <c r="AP88" s="5" t="s">
        <v>81</v>
      </c>
      <c r="AQ88" s="5" t="s">
        <v>64</v>
      </c>
      <c r="AR88" s="5" t="s">
        <v>207</v>
      </c>
      <c r="AS88" s="5"/>
      <c r="AT88" s="5"/>
      <c r="AU88" s="5"/>
      <c r="AV88" s="5"/>
      <c r="AW88" s="8"/>
      <c r="AX88" t="s">
        <v>1135</v>
      </c>
      <c r="AY88" t="s">
        <v>2152</v>
      </c>
    </row>
    <row r="89" spans="1:51" x14ac:dyDescent="0.35">
      <c r="A89" s="4" t="s">
        <v>441</v>
      </c>
      <c r="B89" s="5" t="s">
        <v>441</v>
      </c>
      <c r="C89" s="5" t="s">
        <v>443</v>
      </c>
      <c r="D89" s="5" t="s">
        <v>50</v>
      </c>
      <c r="E89" s="5" t="s">
        <v>51</v>
      </c>
      <c r="F89" s="5" t="s">
        <v>476</v>
      </c>
      <c r="G89" s="5" t="s">
        <v>53</v>
      </c>
      <c r="H89" s="5" t="s">
        <v>54</v>
      </c>
      <c r="I89" s="5" t="s">
        <v>497</v>
      </c>
      <c r="J89" s="5" t="s">
        <v>56</v>
      </c>
      <c r="K89" s="5" t="s">
        <v>57</v>
      </c>
      <c r="L89" s="5" t="s">
        <v>58</v>
      </c>
      <c r="M89" s="5" t="s">
        <v>59</v>
      </c>
      <c r="N89" s="5" t="s">
        <v>60</v>
      </c>
      <c r="O89" s="5" t="s">
        <v>60</v>
      </c>
      <c r="P89" s="5" t="s">
        <v>61</v>
      </c>
      <c r="Q89" s="5" t="s">
        <v>62</v>
      </c>
      <c r="R89" s="5" t="s">
        <v>63</v>
      </c>
      <c r="S89" s="5" t="s">
        <v>64</v>
      </c>
      <c r="T89" s="5" t="s">
        <v>65</v>
      </c>
      <c r="U89" s="5" t="s">
        <v>66</v>
      </c>
      <c r="V89" s="5" t="s">
        <v>502</v>
      </c>
      <c r="W89" s="5" t="s">
        <v>503</v>
      </c>
      <c r="X89" s="5" t="s">
        <v>504</v>
      </c>
      <c r="Y89" s="5" t="s">
        <v>505</v>
      </c>
      <c r="Z89" s="5" t="s">
        <v>71</v>
      </c>
      <c r="AA89" s="5" t="s">
        <v>87</v>
      </c>
      <c r="AB89" s="5" t="s">
        <v>88</v>
      </c>
      <c r="AC89" s="5" t="s">
        <v>89</v>
      </c>
      <c r="AD89" s="5" t="s">
        <v>75</v>
      </c>
      <c r="AE89" s="5" t="s">
        <v>97</v>
      </c>
      <c r="AF89" s="6">
        <v>4326</v>
      </c>
      <c r="AG89" s="7">
        <v>1</v>
      </c>
      <c r="AH89" s="6">
        <v>4326</v>
      </c>
      <c r="AI89" s="5" t="s">
        <v>506</v>
      </c>
      <c r="AJ89" s="10">
        <v>45968</v>
      </c>
      <c r="AK89" s="5" t="s">
        <v>501</v>
      </c>
      <c r="AL89" s="5" t="s">
        <v>79</v>
      </c>
      <c r="AM89" s="5">
        <v>1619409</v>
      </c>
      <c r="AN89" s="5" t="s">
        <v>80</v>
      </c>
      <c r="AO89" s="5">
        <v>1094010</v>
      </c>
      <c r="AP89" s="5" t="s">
        <v>81</v>
      </c>
      <c r="AQ89" s="5" t="s">
        <v>64</v>
      </c>
      <c r="AR89" s="5" t="s">
        <v>504</v>
      </c>
      <c r="AS89" s="5"/>
      <c r="AT89" s="5"/>
      <c r="AU89" s="5"/>
      <c r="AV89" s="5"/>
      <c r="AW89" s="8"/>
      <c r="AX89" t="s">
        <v>1135</v>
      </c>
      <c r="AY89" t="s">
        <v>2152</v>
      </c>
    </row>
    <row r="90" spans="1:51" x14ac:dyDescent="0.35">
      <c r="A90" s="4" t="s">
        <v>441</v>
      </c>
      <c r="B90" s="5" t="s">
        <v>441</v>
      </c>
      <c r="C90" s="5" t="s">
        <v>443</v>
      </c>
      <c r="D90" s="5" t="s">
        <v>50</v>
      </c>
      <c r="E90" s="5" t="s">
        <v>51</v>
      </c>
      <c r="F90" s="5" t="s">
        <v>476</v>
      </c>
      <c r="G90" s="5" t="s">
        <v>53</v>
      </c>
      <c r="H90" s="5" t="s">
        <v>54</v>
      </c>
      <c r="I90" s="5" t="s">
        <v>497</v>
      </c>
      <c r="J90" s="5" t="s">
        <v>56</v>
      </c>
      <c r="K90" s="5" t="s">
        <v>57</v>
      </c>
      <c r="L90" s="5" t="s">
        <v>58</v>
      </c>
      <c r="M90" s="5" t="s">
        <v>59</v>
      </c>
      <c r="N90" s="5" t="s">
        <v>60</v>
      </c>
      <c r="O90" s="5" t="s">
        <v>60</v>
      </c>
      <c r="P90" s="5" t="s">
        <v>61</v>
      </c>
      <c r="Q90" s="5" t="s">
        <v>62</v>
      </c>
      <c r="R90" s="5" t="s">
        <v>63</v>
      </c>
      <c r="S90" s="5" t="s">
        <v>64</v>
      </c>
      <c r="T90" s="5" t="s">
        <v>65</v>
      </c>
      <c r="U90" s="5" t="s">
        <v>66</v>
      </c>
      <c r="V90" s="5" t="s">
        <v>246</v>
      </c>
      <c r="W90" s="5" t="s">
        <v>247</v>
      </c>
      <c r="X90" s="5" t="s">
        <v>95</v>
      </c>
      <c r="Y90" s="5" t="s">
        <v>248</v>
      </c>
      <c r="Z90" s="5" t="s">
        <v>71</v>
      </c>
      <c r="AA90" s="5" t="s">
        <v>249</v>
      </c>
      <c r="AB90" s="5" t="s">
        <v>250</v>
      </c>
      <c r="AC90" s="5" t="s">
        <v>251</v>
      </c>
      <c r="AD90" s="5" t="s">
        <v>75</v>
      </c>
      <c r="AE90" s="5" t="s">
        <v>252</v>
      </c>
      <c r="AF90" s="6">
        <v>30900</v>
      </c>
      <c r="AG90" s="7">
        <v>1</v>
      </c>
      <c r="AH90" s="6">
        <v>30900</v>
      </c>
      <c r="AI90" s="5" t="s">
        <v>253</v>
      </c>
      <c r="AJ90" s="10">
        <v>45968</v>
      </c>
      <c r="AK90" s="5" t="s">
        <v>501</v>
      </c>
      <c r="AL90" s="5" t="s">
        <v>79</v>
      </c>
      <c r="AM90" s="5">
        <v>1619409</v>
      </c>
      <c r="AN90" s="5" t="s">
        <v>80</v>
      </c>
      <c r="AO90" s="5">
        <v>1094010</v>
      </c>
      <c r="AP90" s="5" t="s">
        <v>81</v>
      </c>
      <c r="AQ90" s="5" t="s">
        <v>64</v>
      </c>
      <c r="AR90" s="5" t="s">
        <v>95</v>
      </c>
      <c r="AS90" s="5"/>
      <c r="AT90" s="5"/>
      <c r="AU90" s="5"/>
      <c r="AV90" s="5"/>
      <c r="AW90" s="8"/>
      <c r="AX90" t="s">
        <v>1135</v>
      </c>
      <c r="AY90" t="s">
        <v>2152</v>
      </c>
    </row>
    <row r="91" spans="1:51" x14ac:dyDescent="0.35">
      <c r="A91" s="4" t="s">
        <v>441</v>
      </c>
      <c r="B91" s="5" t="s">
        <v>441</v>
      </c>
      <c r="C91" s="5" t="s">
        <v>443</v>
      </c>
      <c r="D91" s="5" t="s">
        <v>50</v>
      </c>
      <c r="E91" s="5" t="s">
        <v>51</v>
      </c>
      <c r="F91" s="5" t="s">
        <v>476</v>
      </c>
      <c r="G91" s="5" t="s">
        <v>53</v>
      </c>
      <c r="H91" s="5" t="s">
        <v>54</v>
      </c>
      <c r="I91" s="5" t="s">
        <v>497</v>
      </c>
      <c r="J91" s="5" t="s">
        <v>56</v>
      </c>
      <c r="K91" s="5" t="s">
        <v>57</v>
      </c>
      <c r="L91" s="5" t="s">
        <v>58</v>
      </c>
      <c r="M91" s="5" t="s">
        <v>59</v>
      </c>
      <c r="N91" s="5" t="s">
        <v>60</v>
      </c>
      <c r="O91" s="5" t="s">
        <v>60</v>
      </c>
      <c r="P91" s="5" t="s">
        <v>61</v>
      </c>
      <c r="Q91" s="5" t="s">
        <v>62</v>
      </c>
      <c r="R91" s="5" t="s">
        <v>63</v>
      </c>
      <c r="S91" s="5" t="s">
        <v>64</v>
      </c>
      <c r="T91" s="5" t="s">
        <v>65</v>
      </c>
      <c r="U91" s="5" t="s">
        <v>66</v>
      </c>
      <c r="V91" s="5" t="s">
        <v>363</v>
      </c>
      <c r="W91" s="5" t="s">
        <v>507</v>
      </c>
      <c r="X91" s="5" t="s">
        <v>207</v>
      </c>
      <c r="Y91" s="5" t="s">
        <v>365</v>
      </c>
      <c r="Z91" s="5" t="s">
        <v>71</v>
      </c>
      <c r="AA91" s="5" t="s">
        <v>366</v>
      </c>
      <c r="AB91" s="5" t="s">
        <v>367</v>
      </c>
      <c r="AC91" s="5" t="s">
        <v>368</v>
      </c>
      <c r="AD91" s="5" t="s">
        <v>75</v>
      </c>
      <c r="AE91" s="5" t="s">
        <v>369</v>
      </c>
      <c r="AF91" s="6">
        <v>35226</v>
      </c>
      <c r="AG91" s="7">
        <v>1</v>
      </c>
      <c r="AH91" s="6">
        <v>35226</v>
      </c>
      <c r="AI91" s="5" t="s">
        <v>508</v>
      </c>
      <c r="AJ91" s="10">
        <v>45968</v>
      </c>
      <c r="AK91" s="5" t="s">
        <v>501</v>
      </c>
      <c r="AL91" s="5" t="s">
        <v>79</v>
      </c>
      <c r="AM91" s="5">
        <v>1619409</v>
      </c>
      <c r="AN91" s="5" t="s">
        <v>80</v>
      </c>
      <c r="AO91" s="5">
        <v>1094010</v>
      </c>
      <c r="AP91" s="5" t="s">
        <v>81</v>
      </c>
      <c r="AQ91" s="5" t="s">
        <v>64</v>
      </c>
      <c r="AR91" s="5" t="s">
        <v>207</v>
      </c>
      <c r="AS91" s="5"/>
      <c r="AT91" s="5"/>
      <c r="AU91" s="5"/>
      <c r="AV91" s="5"/>
      <c r="AW91" s="8"/>
      <c r="AX91" t="s">
        <v>1135</v>
      </c>
      <c r="AY91" t="s">
        <v>2152</v>
      </c>
    </row>
    <row r="92" spans="1:51" x14ac:dyDescent="0.35">
      <c r="A92" s="4" t="s">
        <v>441</v>
      </c>
      <c r="B92" s="5" t="s">
        <v>441</v>
      </c>
      <c r="C92" s="5" t="s">
        <v>443</v>
      </c>
      <c r="D92" s="5" t="s">
        <v>50</v>
      </c>
      <c r="E92" s="5" t="s">
        <v>51</v>
      </c>
      <c r="F92" s="5" t="s">
        <v>476</v>
      </c>
      <c r="G92" s="5" t="s">
        <v>53</v>
      </c>
      <c r="H92" s="5" t="s">
        <v>54</v>
      </c>
      <c r="I92" s="5" t="s">
        <v>509</v>
      </c>
      <c r="J92" s="5" t="s">
        <v>56</v>
      </c>
      <c r="K92" s="5" t="s">
        <v>57</v>
      </c>
      <c r="L92" s="5" t="s">
        <v>58</v>
      </c>
      <c r="M92" s="5" t="s">
        <v>59</v>
      </c>
      <c r="N92" s="5" t="s">
        <v>60</v>
      </c>
      <c r="O92" s="5" t="s">
        <v>60</v>
      </c>
      <c r="P92" s="5" t="s">
        <v>61</v>
      </c>
      <c r="Q92" s="5" t="s">
        <v>62</v>
      </c>
      <c r="R92" s="5" t="s">
        <v>63</v>
      </c>
      <c r="S92" s="5" t="s">
        <v>64</v>
      </c>
      <c r="T92" s="5" t="s">
        <v>65</v>
      </c>
      <c r="U92" s="5" t="s">
        <v>66</v>
      </c>
      <c r="V92" s="5" t="s">
        <v>498</v>
      </c>
      <c r="W92" s="5" t="s">
        <v>510</v>
      </c>
      <c r="X92" s="5" t="s">
        <v>95</v>
      </c>
      <c r="Y92" s="5" t="s">
        <v>500</v>
      </c>
      <c r="Z92" s="5" t="s">
        <v>71</v>
      </c>
      <c r="AA92" s="5" t="s">
        <v>87</v>
      </c>
      <c r="AB92" s="5" t="s">
        <v>88</v>
      </c>
      <c r="AC92" s="5" t="s">
        <v>89</v>
      </c>
      <c r="AD92" s="5" t="s">
        <v>75</v>
      </c>
      <c r="AE92" s="5" t="s">
        <v>124</v>
      </c>
      <c r="AF92" s="6">
        <v>4326</v>
      </c>
      <c r="AG92" s="7">
        <v>1</v>
      </c>
      <c r="AH92" s="6">
        <v>4326</v>
      </c>
      <c r="AI92" s="5" t="s">
        <v>118</v>
      </c>
      <c r="AJ92" s="10">
        <v>45968</v>
      </c>
      <c r="AK92" s="5" t="s">
        <v>511</v>
      </c>
      <c r="AL92" s="5" t="s">
        <v>79</v>
      </c>
      <c r="AM92" s="5">
        <v>1619409</v>
      </c>
      <c r="AN92" s="5" t="s">
        <v>80</v>
      </c>
      <c r="AO92" s="5">
        <v>1094010</v>
      </c>
      <c r="AP92" s="5" t="s">
        <v>81</v>
      </c>
      <c r="AQ92" s="5" t="s">
        <v>64</v>
      </c>
      <c r="AR92" s="5" t="s">
        <v>95</v>
      </c>
      <c r="AS92" s="5"/>
      <c r="AT92" s="5"/>
      <c r="AU92" s="5"/>
      <c r="AV92" s="5"/>
      <c r="AW92" s="8"/>
      <c r="AX92" t="s">
        <v>1135</v>
      </c>
      <c r="AY92" t="s">
        <v>2152</v>
      </c>
    </row>
    <row r="93" spans="1:51" x14ac:dyDescent="0.35">
      <c r="A93" s="4" t="s">
        <v>441</v>
      </c>
      <c r="B93" s="5" t="s">
        <v>441</v>
      </c>
      <c r="C93" s="5" t="s">
        <v>443</v>
      </c>
      <c r="D93" s="5" t="s">
        <v>50</v>
      </c>
      <c r="E93" s="5" t="s">
        <v>51</v>
      </c>
      <c r="F93" s="5" t="s">
        <v>476</v>
      </c>
      <c r="G93" s="5" t="s">
        <v>53</v>
      </c>
      <c r="H93" s="5" t="s">
        <v>54</v>
      </c>
      <c r="I93" s="5" t="s">
        <v>509</v>
      </c>
      <c r="J93" s="5" t="s">
        <v>56</v>
      </c>
      <c r="K93" s="5" t="s">
        <v>57</v>
      </c>
      <c r="L93" s="5" t="s">
        <v>58</v>
      </c>
      <c r="M93" s="5" t="s">
        <v>59</v>
      </c>
      <c r="N93" s="5" t="s">
        <v>60</v>
      </c>
      <c r="O93" s="5" t="s">
        <v>60</v>
      </c>
      <c r="P93" s="5" t="s">
        <v>61</v>
      </c>
      <c r="Q93" s="5" t="s">
        <v>62</v>
      </c>
      <c r="R93" s="5" t="s">
        <v>63</v>
      </c>
      <c r="S93" s="5" t="s">
        <v>64</v>
      </c>
      <c r="T93" s="5" t="s">
        <v>65</v>
      </c>
      <c r="U93" s="5" t="s">
        <v>66</v>
      </c>
      <c r="V93" s="5" t="s">
        <v>512</v>
      </c>
      <c r="W93" s="5" t="s">
        <v>513</v>
      </c>
      <c r="X93" s="5" t="s">
        <v>95</v>
      </c>
      <c r="Y93" s="5" t="s">
        <v>514</v>
      </c>
      <c r="Z93" s="5" t="s">
        <v>71</v>
      </c>
      <c r="AA93" s="5" t="s">
        <v>87</v>
      </c>
      <c r="AB93" s="5" t="s">
        <v>88</v>
      </c>
      <c r="AC93" s="5" t="s">
        <v>89</v>
      </c>
      <c r="AD93" s="5" t="s">
        <v>75</v>
      </c>
      <c r="AE93" s="5" t="s">
        <v>97</v>
      </c>
      <c r="AF93" s="6">
        <v>4326</v>
      </c>
      <c r="AG93" s="7">
        <v>1</v>
      </c>
      <c r="AH93" s="6">
        <v>4326</v>
      </c>
      <c r="AI93" s="5" t="s">
        <v>118</v>
      </c>
      <c r="AJ93" s="10">
        <v>45968</v>
      </c>
      <c r="AK93" s="5" t="s">
        <v>511</v>
      </c>
      <c r="AL93" s="5" t="s">
        <v>79</v>
      </c>
      <c r="AM93" s="5">
        <v>1619409</v>
      </c>
      <c r="AN93" s="5" t="s">
        <v>80</v>
      </c>
      <c r="AO93" s="5">
        <v>1094010</v>
      </c>
      <c r="AP93" s="5" t="s">
        <v>81</v>
      </c>
      <c r="AQ93" s="5" t="s">
        <v>64</v>
      </c>
      <c r="AR93" s="5" t="s">
        <v>95</v>
      </c>
      <c r="AS93" s="5"/>
      <c r="AT93" s="5"/>
      <c r="AU93" s="5"/>
      <c r="AV93" s="5"/>
      <c r="AW93" s="8"/>
      <c r="AX93" t="s">
        <v>1135</v>
      </c>
      <c r="AY93" t="s">
        <v>2152</v>
      </c>
    </row>
    <row r="94" spans="1:51" x14ac:dyDescent="0.35">
      <c r="A94" s="4" t="s">
        <v>441</v>
      </c>
      <c r="B94" s="5" t="s">
        <v>441</v>
      </c>
      <c r="C94" s="5" t="s">
        <v>443</v>
      </c>
      <c r="D94" s="5" t="s">
        <v>50</v>
      </c>
      <c r="E94" s="5" t="s">
        <v>51</v>
      </c>
      <c r="F94" s="5" t="s">
        <v>476</v>
      </c>
      <c r="G94" s="5" t="s">
        <v>53</v>
      </c>
      <c r="H94" s="5" t="s">
        <v>54</v>
      </c>
      <c r="I94" s="5" t="s">
        <v>515</v>
      </c>
      <c r="J94" s="5" t="s">
        <v>56</v>
      </c>
      <c r="K94" s="5" t="s">
        <v>57</v>
      </c>
      <c r="L94" s="5" t="s">
        <v>58</v>
      </c>
      <c r="M94" s="5" t="s">
        <v>59</v>
      </c>
      <c r="N94" s="5" t="s">
        <v>60</v>
      </c>
      <c r="O94" s="5" t="s">
        <v>60</v>
      </c>
      <c r="P94" s="5" t="s">
        <v>61</v>
      </c>
      <c r="Q94" s="5" t="s">
        <v>62</v>
      </c>
      <c r="R94" s="5" t="s">
        <v>63</v>
      </c>
      <c r="S94" s="5" t="s">
        <v>64</v>
      </c>
      <c r="T94" s="5" t="s">
        <v>65</v>
      </c>
      <c r="U94" s="5" t="s">
        <v>66</v>
      </c>
      <c r="V94" s="5" t="s">
        <v>516</v>
      </c>
      <c r="W94" s="5" t="s">
        <v>517</v>
      </c>
      <c r="X94" s="5" t="s">
        <v>518</v>
      </c>
      <c r="Y94" s="5" t="s">
        <v>519</v>
      </c>
      <c r="Z94" s="5" t="s">
        <v>71</v>
      </c>
      <c r="AA94" s="5" t="s">
        <v>87</v>
      </c>
      <c r="AB94" s="5" t="s">
        <v>104</v>
      </c>
      <c r="AC94" s="5" t="s">
        <v>105</v>
      </c>
      <c r="AD94" s="5" t="s">
        <v>75</v>
      </c>
      <c r="AE94" s="5" t="s">
        <v>263</v>
      </c>
      <c r="AF94" s="6">
        <v>2835</v>
      </c>
      <c r="AG94" s="7">
        <v>1</v>
      </c>
      <c r="AH94" s="6">
        <v>2835</v>
      </c>
      <c r="AI94" s="5" t="s">
        <v>520</v>
      </c>
      <c r="AJ94" s="10">
        <v>45968</v>
      </c>
      <c r="AK94" s="5" t="s">
        <v>521</v>
      </c>
      <c r="AL94" s="5" t="s">
        <v>79</v>
      </c>
      <c r="AM94" s="5">
        <v>1619409</v>
      </c>
      <c r="AN94" s="5" t="s">
        <v>80</v>
      </c>
      <c r="AO94" s="5">
        <v>1094010</v>
      </c>
      <c r="AP94" s="5" t="s">
        <v>81</v>
      </c>
      <c r="AQ94" s="5" t="s">
        <v>64</v>
      </c>
      <c r="AR94" s="5" t="s">
        <v>518</v>
      </c>
      <c r="AS94" s="5"/>
      <c r="AT94" s="5"/>
      <c r="AU94" s="5"/>
      <c r="AV94" s="5"/>
      <c r="AW94" s="8"/>
      <c r="AX94" t="s">
        <v>1135</v>
      </c>
      <c r="AY94" t="s">
        <v>2152</v>
      </c>
    </row>
    <row r="95" spans="1:51" x14ac:dyDescent="0.35">
      <c r="A95" s="4" t="s">
        <v>441</v>
      </c>
      <c r="B95" s="5" t="s">
        <v>441</v>
      </c>
      <c r="C95" s="5" t="s">
        <v>443</v>
      </c>
      <c r="D95" s="5" t="s">
        <v>50</v>
      </c>
      <c r="E95" s="5" t="s">
        <v>51</v>
      </c>
      <c r="F95" s="5" t="s">
        <v>476</v>
      </c>
      <c r="G95" s="5" t="s">
        <v>53</v>
      </c>
      <c r="H95" s="5" t="s">
        <v>54</v>
      </c>
      <c r="I95" s="5" t="s">
        <v>515</v>
      </c>
      <c r="J95" s="5" t="s">
        <v>56</v>
      </c>
      <c r="K95" s="5" t="s">
        <v>57</v>
      </c>
      <c r="L95" s="5" t="s">
        <v>58</v>
      </c>
      <c r="M95" s="5" t="s">
        <v>59</v>
      </c>
      <c r="N95" s="5" t="s">
        <v>60</v>
      </c>
      <c r="O95" s="5" t="s">
        <v>60</v>
      </c>
      <c r="P95" s="5" t="s">
        <v>61</v>
      </c>
      <c r="Q95" s="5" t="s">
        <v>62</v>
      </c>
      <c r="R95" s="5" t="s">
        <v>63</v>
      </c>
      <c r="S95" s="5" t="s">
        <v>64</v>
      </c>
      <c r="T95" s="5" t="s">
        <v>65</v>
      </c>
      <c r="U95" s="5" t="s">
        <v>66</v>
      </c>
      <c r="V95" s="5" t="s">
        <v>512</v>
      </c>
      <c r="W95" s="5" t="s">
        <v>522</v>
      </c>
      <c r="X95" s="5" t="s">
        <v>129</v>
      </c>
      <c r="Y95" s="5" t="s">
        <v>514</v>
      </c>
      <c r="Z95" s="5" t="s">
        <v>71</v>
      </c>
      <c r="AA95" s="5" t="s">
        <v>87</v>
      </c>
      <c r="AB95" s="5" t="s">
        <v>88</v>
      </c>
      <c r="AC95" s="5" t="s">
        <v>89</v>
      </c>
      <c r="AD95" s="5" t="s">
        <v>75</v>
      </c>
      <c r="AE95" s="5" t="s">
        <v>97</v>
      </c>
      <c r="AF95" s="6">
        <v>4326</v>
      </c>
      <c r="AG95" s="7">
        <v>1</v>
      </c>
      <c r="AH95" s="6">
        <v>4326</v>
      </c>
      <c r="AI95" s="5" t="s">
        <v>118</v>
      </c>
      <c r="AJ95" s="10">
        <v>45968</v>
      </c>
      <c r="AK95" s="5" t="s">
        <v>521</v>
      </c>
      <c r="AL95" s="5" t="s">
        <v>79</v>
      </c>
      <c r="AM95" s="5">
        <v>1619409</v>
      </c>
      <c r="AN95" s="5" t="s">
        <v>80</v>
      </c>
      <c r="AO95" s="5">
        <v>1094010</v>
      </c>
      <c r="AP95" s="5" t="s">
        <v>81</v>
      </c>
      <c r="AQ95" s="5" t="s">
        <v>64</v>
      </c>
      <c r="AR95" s="5" t="s">
        <v>129</v>
      </c>
      <c r="AS95" s="5"/>
      <c r="AT95" s="5"/>
      <c r="AU95" s="5"/>
      <c r="AV95" s="5"/>
      <c r="AW95" s="8"/>
      <c r="AX95" t="s">
        <v>1135</v>
      </c>
      <c r="AY95" t="s">
        <v>2152</v>
      </c>
    </row>
    <row r="96" spans="1:51" x14ac:dyDescent="0.35">
      <c r="A96" s="4" t="s">
        <v>441</v>
      </c>
      <c r="B96" s="5" t="s">
        <v>441</v>
      </c>
      <c r="C96" s="5" t="s">
        <v>443</v>
      </c>
      <c r="D96" s="5" t="s">
        <v>50</v>
      </c>
      <c r="E96" s="5" t="s">
        <v>51</v>
      </c>
      <c r="F96" s="5" t="s">
        <v>476</v>
      </c>
      <c r="G96" s="5" t="s">
        <v>53</v>
      </c>
      <c r="H96" s="5" t="s">
        <v>54</v>
      </c>
      <c r="I96" s="5" t="s">
        <v>515</v>
      </c>
      <c r="J96" s="5" t="s">
        <v>56</v>
      </c>
      <c r="K96" s="5" t="s">
        <v>57</v>
      </c>
      <c r="L96" s="5" t="s">
        <v>58</v>
      </c>
      <c r="M96" s="5" t="s">
        <v>59</v>
      </c>
      <c r="N96" s="5" t="s">
        <v>60</v>
      </c>
      <c r="O96" s="5" t="s">
        <v>60</v>
      </c>
      <c r="P96" s="5" t="s">
        <v>61</v>
      </c>
      <c r="Q96" s="5" t="s">
        <v>62</v>
      </c>
      <c r="R96" s="5" t="s">
        <v>63</v>
      </c>
      <c r="S96" s="5" t="s">
        <v>64</v>
      </c>
      <c r="T96" s="5" t="s">
        <v>65</v>
      </c>
      <c r="U96" s="5" t="s">
        <v>66</v>
      </c>
      <c r="V96" s="5" t="s">
        <v>523</v>
      </c>
      <c r="W96" s="5" t="s">
        <v>524</v>
      </c>
      <c r="X96" s="5" t="s">
        <v>129</v>
      </c>
      <c r="Y96" s="5" t="s">
        <v>525</v>
      </c>
      <c r="Z96" s="5" t="s">
        <v>71</v>
      </c>
      <c r="AA96" s="5" t="s">
        <v>72</v>
      </c>
      <c r="AB96" s="5" t="s">
        <v>73</v>
      </c>
      <c r="AC96" s="5" t="s">
        <v>74</v>
      </c>
      <c r="AD96" s="5" t="s">
        <v>75</v>
      </c>
      <c r="AE96" s="5" t="s">
        <v>258</v>
      </c>
      <c r="AF96" s="6">
        <v>35818.480000000003</v>
      </c>
      <c r="AG96" s="7">
        <v>1</v>
      </c>
      <c r="AH96" s="6">
        <v>35818.480000000003</v>
      </c>
      <c r="AI96" s="5" t="s">
        <v>141</v>
      </c>
      <c r="AJ96" s="10">
        <v>45968</v>
      </c>
      <c r="AK96" s="5" t="s">
        <v>521</v>
      </c>
      <c r="AL96" s="5" t="s">
        <v>79</v>
      </c>
      <c r="AM96" s="5">
        <v>1619409</v>
      </c>
      <c r="AN96" s="5" t="s">
        <v>80</v>
      </c>
      <c r="AO96" s="5">
        <v>1094010</v>
      </c>
      <c r="AP96" s="5" t="s">
        <v>81</v>
      </c>
      <c r="AQ96" s="5" t="s">
        <v>64</v>
      </c>
      <c r="AR96" s="5" t="s">
        <v>129</v>
      </c>
      <c r="AS96" s="5"/>
      <c r="AT96" s="5"/>
      <c r="AU96" s="5"/>
      <c r="AV96" s="5"/>
      <c r="AW96" s="8"/>
      <c r="AX96" t="s">
        <v>1135</v>
      </c>
      <c r="AY96" t="s">
        <v>2152</v>
      </c>
    </row>
    <row r="97" spans="1:51" x14ac:dyDescent="0.35">
      <c r="A97" s="4" t="s">
        <v>441</v>
      </c>
      <c r="B97" s="5" t="s">
        <v>441</v>
      </c>
      <c r="C97" s="5" t="s">
        <v>443</v>
      </c>
      <c r="D97" s="5" t="s">
        <v>50</v>
      </c>
      <c r="E97" s="5" t="s">
        <v>51</v>
      </c>
      <c r="F97" s="5" t="s">
        <v>476</v>
      </c>
      <c r="G97" s="5" t="s">
        <v>53</v>
      </c>
      <c r="H97" s="5" t="s">
        <v>54</v>
      </c>
      <c r="I97" s="5" t="s">
        <v>515</v>
      </c>
      <c r="J97" s="5" t="s">
        <v>56</v>
      </c>
      <c r="K97" s="5" t="s">
        <v>57</v>
      </c>
      <c r="L97" s="5" t="s">
        <v>58</v>
      </c>
      <c r="M97" s="5" t="s">
        <v>59</v>
      </c>
      <c r="N97" s="5" t="s">
        <v>60</v>
      </c>
      <c r="O97" s="5" t="s">
        <v>60</v>
      </c>
      <c r="P97" s="5" t="s">
        <v>61</v>
      </c>
      <c r="Q97" s="5" t="s">
        <v>62</v>
      </c>
      <c r="R97" s="5" t="s">
        <v>63</v>
      </c>
      <c r="S97" s="5" t="s">
        <v>64</v>
      </c>
      <c r="T97" s="5" t="s">
        <v>65</v>
      </c>
      <c r="U97" s="5" t="s">
        <v>66</v>
      </c>
      <c r="V97" s="5" t="s">
        <v>526</v>
      </c>
      <c r="W97" s="5" t="s">
        <v>527</v>
      </c>
      <c r="X97" s="5" t="s">
        <v>129</v>
      </c>
      <c r="Y97" s="5" t="s">
        <v>528</v>
      </c>
      <c r="Z97" s="5" t="s">
        <v>71</v>
      </c>
      <c r="AA97" s="5" t="s">
        <v>72</v>
      </c>
      <c r="AB97" s="5" t="s">
        <v>73</v>
      </c>
      <c r="AC97" s="5" t="s">
        <v>74</v>
      </c>
      <c r="AD97" s="5" t="s">
        <v>75</v>
      </c>
      <c r="AE97" s="5" t="s">
        <v>336</v>
      </c>
      <c r="AF97" s="6">
        <v>35818.480000000003</v>
      </c>
      <c r="AG97" s="7">
        <v>1</v>
      </c>
      <c r="AH97" s="6">
        <v>35818.480000000003</v>
      </c>
      <c r="AI97" s="5" t="s">
        <v>134</v>
      </c>
      <c r="AJ97" s="10">
        <v>45968</v>
      </c>
      <c r="AK97" s="5" t="s">
        <v>521</v>
      </c>
      <c r="AL97" s="5" t="s">
        <v>79</v>
      </c>
      <c r="AM97" s="5">
        <v>1619409</v>
      </c>
      <c r="AN97" s="5" t="s">
        <v>80</v>
      </c>
      <c r="AO97" s="5">
        <v>1094010</v>
      </c>
      <c r="AP97" s="5" t="s">
        <v>81</v>
      </c>
      <c r="AQ97" s="5" t="s">
        <v>64</v>
      </c>
      <c r="AR97" s="5" t="s">
        <v>129</v>
      </c>
      <c r="AS97" s="5"/>
      <c r="AT97" s="5"/>
      <c r="AU97" s="5"/>
      <c r="AV97" s="5"/>
      <c r="AW97" s="8"/>
      <c r="AX97" t="s">
        <v>1135</v>
      </c>
      <c r="AY97" t="s">
        <v>2152</v>
      </c>
    </row>
    <row r="98" spans="1:51" x14ac:dyDescent="0.35">
      <c r="A98" s="4" t="s">
        <v>441</v>
      </c>
      <c r="B98" s="5" t="s">
        <v>441</v>
      </c>
      <c r="C98" s="5" t="s">
        <v>443</v>
      </c>
      <c r="D98" s="5" t="s">
        <v>50</v>
      </c>
      <c r="E98" s="5" t="s">
        <v>51</v>
      </c>
      <c r="F98" s="5" t="s">
        <v>476</v>
      </c>
      <c r="G98" s="5" t="s">
        <v>53</v>
      </c>
      <c r="H98" s="5" t="s">
        <v>54</v>
      </c>
      <c r="I98" s="5" t="s">
        <v>515</v>
      </c>
      <c r="J98" s="5" t="s">
        <v>56</v>
      </c>
      <c r="K98" s="5" t="s">
        <v>57</v>
      </c>
      <c r="L98" s="5" t="s">
        <v>58</v>
      </c>
      <c r="M98" s="5" t="s">
        <v>59</v>
      </c>
      <c r="N98" s="5" t="s">
        <v>60</v>
      </c>
      <c r="O98" s="5" t="s">
        <v>60</v>
      </c>
      <c r="P98" s="5" t="s">
        <v>61</v>
      </c>
      <c r="Q98" s="5" t="s">
        <v>62</v>
      </c>
      <c r="R98" s="5" t="s">
        <v>63</v>
      </c>
      <c r="S98" s="5" t="s">
        <v>64</v>
      </c>
      <c r="T98" s="5" t="s">
        <v>65</v>
      </c>
      <c r="U98" s="5" t="s">
        <v>66</v>
      </c>
      <c r="V98" s="5" t="s">
        <v>220</v>
      </c>
      <c r="W98" s="5" t="s">
        <v>529</v>
      </c>
      <c r="X98" s="5" t="s">
        <v>85</v>
      </c>
      <c r="Y98" s="5" t="s">
        <v>222</v>
      </c>
      <c r="Z98" s="5" t="s">
        <v>71</v>
      </c>
      <c r="AA98" s="5" t="s">
        <v>72</v>
      </c>
      <c r="AB98" s="5" t="s">
        <v>73</v>
      </c>
      <c r="AC98" s="5" t="s">
        <v>74</v>
      </c>
      <c r="AD98" s="5" t="s">
        <v>75</v>
      </c>
      <c r="AE98" s="5" t="s">
        <v>223</v>
      </c>
      <c r="AF98" s="6">
        <v>35818.480000000003</v>
      </c>
      <c r="AG98" s="7">
        <v>1</v>
      </c>
      <c r="AH98" s="6">
        <v>35818.480000000003</v>
      </c>
      <c r="AI98" s="5" t="s">
        <v>323</v>
      </c>
      <c r="AJ98" s="10">
        <v>45968</v>
      </c>
      <c r="AK98" s="5" t="s">
        <v>521</v>
      </c>
      <c r="AL98" s="5" t="s">
        <v>79</v>
      </c>
      <c r="AM98" s="5">
        <v>1619409</v>
      </c>
      <c r="AN98" s="5" t="s">
        <v>80</v>
      </c>
      <c r="AO98" s="5">
        <v>1094010</v>
      </c>
      <c r="AP98" s="5" t="s">
        <v>81</v>
      </c>
      <c r="AQ98" s="5" t="s">
        <v>64</v>
      </c>
      <c r="AR98" s="5" t="s">
        <v>85</v>
      </c>
      <c r="AS98" s="5"/>
      <c r="AT98" s="5"/>
      <c r="AU98" s="5"/>
      <c r="AV98" s="5"/>
      <c r="AW98" s="8"/>
      <c r="AX98" t="s">
        <v>1135</v>
      </c>
      <c r="AY98" t="s">
        <v>2152</v>
      </c>
    </row>
    <row r="99" spans="1:51" x14ac:dyDescent="0.35">
      <c r="A99" s="4" t="s">
        <v>441</v>
      </c>
      <c r="B99" s="5" t="s">
        <v>441</v>
      </c>
      <c r="C99" s="5" t="s">
        <v>530</v>
      </c>
      <c r="D99" s="5" t="s">
        <v>50</v>
      </c>
      <c r="E99" s="5" t="s">
        <v>51</v>
      </c>
      <c r="F99" s="5" t="s">
        <v>476</v>
      </c>
      <c r="G99" s="5" t="s">
        <v>53</v>
      </c>
      <c r="H99" s="5" t="s">
        <v>54</v>
      </c>
      <c r="I99" s="5" t="s">
        <v>531</v>
      </c>
      <c r="J99" s="5" t="s">
        <v>56</v>
      </c>
      <c r="K99" s="5" t="s">
        <v>57</v>
      </c>
      <c r="L99" s="5" t="s">
        <v>58</v>
      </c>
      <c r="M99" s="5" t="s">
        <v>59</v>
      </c>
      <c r="N99" s="5" t="s">
        <v>60</v>
      </c>
      <c r="O99" s="5" t="s">
        <v>60</v>
      </c>
      <c r="P99" s="5" t="s">
        <v>61</v>
      </c>
      <c r="Q99" s="5" t="s">
        <v>62</v>
      </c>
      <c r="R99" s="5" t="s">
        <v>63</v>
      </c>
      <c r="S99" s="5" t="s">
        <v>64</v>
      </c>
      <c r="T99" s="5" t="s">
        <v>65</v>
      </c>
      <c r="U99" s="5" t="s">
        <v>66</v>
      </c>
      <c r="V99" s="5" t="s">
        <v>93</v>
      </c>
      <c r="W99" s="5" t="s">
        <v>94</v>
      </c>
      <c r="X99" s="5" t="s">
        <v>95</v>
      </c>
      <c r="Y99" s="5" t="s">
        <v>96</v>
      </c>
      <c r="Z99" s="5" t="s">
        <v>71</v>
      </c>
      <c r="AA99" s="5" t="s">
        <v>87</v>
      </c>
      <c r="AB99" s="5" t="s">
        <v>88</v>
      </c>
      <c r="AC99" s="5" t="s">
        <v>89</v>
      </c>
      <c r="AD99" s="5" t="s">
        <v>75</v>
      </c>
      <c r="AE99" s="5" t="s">
        <v>97</v>
      </c>
      <c r="AF99" s="6">
        <v>4326</v>
      </c>
      <c r="AG99" s="7">
        <v>1</v>
      </c>
      <c r="AH99" s="6">
        <v>4326</v>
      </c>
      <c r="AI99" s="5" t="s">
        <v>98</v>
      </c>
      <c r="AJ99" s="10">
        <v>45971</v>
      </c>
      <c r="AK99" s="5" t="s">
        <v>532</v>
      </c>
      <c r="AL99" s="5" t="s">
        <v>79</v>
      </c>
      <c r="AM99" s="5">
        <v>1619409</v>
      </c>
      <c r="AN99" s="5" t="s">
        <v>80</v>
      </c>
      <c r="AO99" s="5">
        <v>1094010</v>
      </c>
      <c r="AP99" s="5" t="s">
        <v>81</v>
      </c>
      <c r="AQ99" s="5" t="s">
        <v>64</v>
      </c>
      <c r="AR99" s="5" t="s">
        <v>95</v>
      </c>
      <c r="AS99" s="5"/>
      <c r="AT99" s="5"/>
      <c r="AU99" s="5"/>
      <c r="AV99" s="5"/>
      <c r="AW99" s="8"/>
      <c r="AX99" t="s">
        <v>1135</v>
      </c>
      <c r="AY99" t="s">
        <v>2152</v>
      </c>
    </row>
    <row r="100" spans="1:51" x14ac:dyDescent="0.35">
      <c r="A100" s="4" t="s">
        <v>441</v>
      </c>
      <c r="B100" s="5" t="s">
        <v>441</v>
      </c>
      <c r="C100" s="5" t="s">
        <v>530</v>
      </c>
      <c r="D100" s="5" t="s">
        <v>50</v>
      </c>
      <c r="E100" s="5" t="s">
        <v>51</v>
      </c>
      <c r="F100" s="5" t="s">
        <v>476</v>
      </c>
      <c r="G100" s="5" t="s">
        <v>53</v>
      </c>
      <c r="H100" s="5" t="s">
        <v>54</v>
      </c>
      <c r="I100" s="5" t="s">
        <v>531</v>
      </c>
      <c r="J100" s="5" t="s">
        <v>56</v>
      </c>
      <c r="K100" s="5" t="s">
        <v>57</v>
      </c>
      <c r="L100" s="5" t="s">
        <v>58</v>
      </c>
      <c r="M100" s="5" t="s">
        <v>59</v>
      </c>
      <c r="N100" s="5" t="s">
        <v>60</v>
      </c>
      <c r="O100" s="5" t="s">
        <v>60</v>
      </c>
      <c r="P100" s="5" t="s">
        <v>61</v>
      </c>
      <c r="Q100" s="5" t="s">
        <v>62</v>
      </c>
      <c r="R100" s="5" t="s">
        <v>63</v>
      </c>
      <c r="S100" s="5" t="s">
        <v>64</v>
      </c>
      <c r="T100" s="5" t="s">
        <v>65</v>
      </c>
      <c r="U100" s="5" t="s">
        <v>66</v>
      </c>
      <c r="V100" s="5" t="s">
        <v>502</v>
      </c>
      <c r="W100" s="5" t="s">
        <v>503</v>
      </c>
      <c r="X100" s="5" t="s">
        <v>504</v>
      </c>
      <c r="Y100" s="5" t="s">
        <v>505</v>
      </c>
      <c r="Z100" s="5" t="s">
        <v>71</v>
      </c>
      <c r="AA100" s="5" t="s">
        <v>87</v>
      </c>
      <c r="AB100" s="5" t="s">
        <v>88</v>
      </c>
      <c r="AC100" s="5" t="s">
        <v>89</v>
      </c>
      <c r="AD100" s="5" t="s">
        <v>75</v>
      </c>
      <c r="AE100" s="5" t="s">
        <v>97</v>
      </c>
      <c r="AF100" s="6">
        <v>4326</v>
      </c>
      <c r="AG100" s="7">
        <v>1</v>
      </c>
      <c r="AH100" s="6">
        <v>4326</v>
      </c>
      <c r="AI100" s="5" t="s">
        <v>506</v>
      </c>
      <c r="AJ100" s="10">
        <v>45971</v>
      </c>
      <c r="AK100" s="5" t="s">
        <v>532</v>
      </c>
      <c r="AL100" s="5" t="s">
        <v>79</v>
      </c>
      <c r="AM100" s="5">
        <v>1619409</v>
      </c>
      <c r="AN100" s="5" t="s">
        <v>80</v>
      </c>
      <c r="AO100" s="5">
        <v>1094010</v>
      </c>
      <c r="AP100" s="5" t="s">
        <v>81</v>
      </c>
      <c r="AQ100" s="5" t="s">
        <v>64</v>
      </c>
      <c r="AR100" s="5" t="s">
        <v>504</v>
      </c>
      <c r="AS100" s="5"/>
      <c r="AT100" s="5"/>
      <c r="AU100" s="5"/>
      <c r="AV100" s="5"/>
      <c r="AW100" s="8"/>
      <c r="AX100" t="s">
        <v>1135</v>
      </c>
      <c r="AY100" t="s">
        <v>2152</v>
      </c>
    </row>
    <row r="101" spans="1:51" x14ac:dyDescent="0.35">
      <c r="A101" s="4" t="s">
        <v>441</v>
      </c>
      <c r="B101" s="5" t="s">
        <v>441</v>
      </c>
      <c r="C101" s="5" t="s">
        <v>533</v>
      </c>
      <c r="D101" s="5" t="s">
        <v>50</v>
      </c>
      <c r="E101" s="5" t="s">
        <v>51</v>
      </c>
      <c r="F101" s="5" t="s">
        <v>476</v>
      </c>
      <c r="G101" s="5" t="s">
        <v>53</v>
      </c>
      <c r="H101" s="5" t="s">
        <v>54</v>
      </c>
      <c r="I101" s="5" t="s">
        <v>534</v>
      </c>
      <c r="J101" s="5" t="s">
        <v>56</v>
      </c>
      <c r="K101" s="5" t="s">
        <v>57</v>
      </c>
      <c r="L101" s="5" t="s">
        <v>58</v>
      </c>
      <c r="M101" s="5" t="s">
        <v>59</v>
      </c>
      <c r="N101" s="5" t="s">
        <v>60</v>
      </c>
      <c r="O101" s="5" t="s">
        <v>60</v>
      </c>
      <c r="P101" s="5" t="s">
        <v>61</v>
      </c>
      <c r="Q101" s="5" t="s">
        <v>62</v>
      </c>
      <c r="R101" s="5" t="s">
        <v>63</v>
      </c>
      <c r="S101" s="5" t="s">
        <v>64</v>
      </c>
      <c r="T101" s="5" t="s">
        <v>65</v>
      </c>
      <c r="U101" s="5" t="s">
        <v>66</v>
      </c>
      <c r="V101" s="5" t="s">
        <v>535</v>
      </c>
      <c r="W101" s="5" t="s">
        <v>536</v>
      </c>
      <c r="X101" s="5" t="s">
        <v>207</v>
      </c>
      <c r="Y101" s="5" t="s">
        <v>537</v>
      </c>
      <c r="Z101" s="5" t="s">
        <v>71</v>
      </c>
      <c r="AA101" s="5" t="s">
        <v>87</v>
      </c>
      <c r="AB101" s="5" t="s">
        <v>88</v>
      </c>
      <c r="AC101" s="5" t="s">
        <v>89</v>
      </c>
      <c r="AD101" s="5" t="s">
        <v>75</v>
      </c>
      <c r="AE101" s="5" t="s">
        <v>117</v>
      </c>
      <c r="AF101" s="6">
        <v>4326</v>
      </c>
      <c r="AG101" s="7">
        <v>1</v>
      </c>
      <c r="AH101" s="6">
        <v>4326</v>
      </c>
      <c r="AI101" s="5" t="s">
        <v>118</v>
      </c>
      <c r="AJ101" s="10">
        <v>45973</v>
      </c>
      <c r="AK101" s="5" t="s">
        <v>538</v>
      </c>
      <c r="AL101" s="5" t="s">
        <v>79</v>
      </c>
      <c r="AM101" s="5">
        <v>1619409</v>
      </c>
      <c r="AN101" s="5" t="s">
        <v>80</v>
      </c>
      <c r="AO101" s="5">
        <v>1094010</v>
      </c>
      <c r="AP101" s="5" t="s">
        <v>81</v>
      </c>
      <c r="AQ101" s="5" t="s">
        <v>64</v>
      </c>
      <c r="AR101" s="5" t="s">
        <v>207</v>
      </c>
      <c r="AS101" s="5"/>
      <c r="AT101" s="5"/>
      <c r="AU101" s="5"/>
      <c r="AV101" s="5"/>
      <c r="AW101" s="8"/>
      <c r="AX101" t="s">
        <v>1135</v>
      </c>
      <c r="AY101" t="s">
        <v>2152</v>
      </c>
    </row>
    <row r="102" spans="1:51" x14ac:dyDescent="0.35">
      <c r="A102" s="4" t="s">
        <v>441</v>
      </c>
      <c r="B102" s="5" t="s">
        <v>441</v>
      </c>
      <c r="C102" s="5" t="s">
        <v>533</v>
      </c>
      <c r="D102" s="5" t="s">
        <v>50</v>
      </c>
      <c r="E102" s="5" t="s">
        <v>51</v>
      </c>
      <c r="F102" s="5" t="s">
        <v>476</v>
      </c>
      <c r="G102" s="5" t="s">
        <v>53</v>
      </c>
      <c r="H102" s="5" t="s">
        <v>54</v>
      </c>
      <c r="I102" s="5" t="s">
        <v>539</v>
      </c>
      <c r="J102" s="5" t="s">
        <v>56</v>
      </c>
      <c r="K102" s="5" t="s">
        <v>57</v>
      </c>
      <c r="L102" s="5" t="s">
        <v>58</v>
      </c>
      <c r="M102" s="5" t="s">
        <v>59</v>
      </c>
      <c r="N102" s="5" t="s">
        <v>60</v>
      </c>
      <c r="O102" s="5" t="s">
        <v>60</v>
      </c>
      <c r="P102" s="5" t="s">
        <v>61</v>
      </c>
      <c r="Q102" s="5" t="s">
        <v>62</v>
      </c>
      <c r="R102" s="5" t="s">
        <v>63</v>
      </c>
      <c r="S102" s="5" t="s">
        <v>64</v>
      </c>
      <c r="T102" s="5" t="s">
        <v>65</v>
      </c>
      <c r="U102" s="5" t="s">
        <v>66</v>
      </c>
      <c r="V102" s="5" t="s">
        <v>490</v>
      </c>
      <c r="W102" s="5" t="s">
        <v>540</v>
      </c>
      <c r="X102" s="5" t="s">
        <v>168</v>
      </c>
      <c r="Y102" s="5" t="s">
        <v>493</v>
      </c>
      <c r="Z102" s="5" t="s">
        <v>71</v>
      </c>
      <c r="AA102" s="5" t="s">
        <v>87</v>
      </c>
      <c r="AB102" s="5" t="s">
        <v>104</v>
      </c>
      <c r="AC102" s="5" t="s">
        <v>105</v>
      </c>
      <c r="AD102" s="5" t="s">
        <v>75</v>
      </c>
      <c r="AE102" s="5" t="s">
        <v>170</v>
      </c>
      <c r="AF102" s="6">
        <v>2920</v>
      </c>
      <c r="AG102" s="7">
        <v>1</v>
      </c>
      <c r="AH102" s="6">
        <v>2920</v>
      </c>
      <c r="AI102" s="5" t="s">
        <v>280</v>
      </c>
      <c r="AJ102" s="10">
        <v>45973</v>
      </c>
      <c r="AK102" s="5" t="s">
        <v>541</v>
      </c>
      <c r="AL102" s="5" t="s">
        <v>79</v>
      </c>
      <c r="AM102" s="5">
        <v>1619409</v>
      </c>
      <c r="AN102" s="5" t="s">
        <v>80</v>
      </c>
      <c r="AO102" s="5">
        <v>1094010</v>
      </c>
      <c r="AP102" s="5" t="s">
        <v>81</v>
      </c>
      <c r="AQ102" s="5" t="s">
        <v>64</v>
      </c>
      <c r="AR102" s="5" t="s">
        <v>168</v>
      </c>
      <c r="AS102" s="5"/>
      <c r="AT102" s="5"/>
      <c r="AU102" s="5"/>
      <c r="AV102" s="5"/>
      <c r="AW102" s="8"/>
      <c r="AX102" t="s">
        <v>1135</v>
      </c>
      <c r="AY102" t="s">
        <v>2152</v>
      </c>
    </row>
    <row r="103" spans="1:51" x14ac:dyDescent="0.35">
      <c r="A103" s="4" t="s">
        <v>441</v>
      </c>
      <c r="B103" s="5" t="s">
        <v>441</v>
      </c>
      <c r="C103" s="5" t="s">
        <v>533</v>
      </c>
      <c r="D103" s="5" t="s">
        <v>50</v>
      </c>
      <c r="E103" s="5" t="s">
        <v>51</v>
      </c>
      <c r="F103" s="5" t="s">
        <v>476</v>
      </c>
      <c r="G103" s="5" t="s">
        <v>53</v>
      </c>
      <c r="H103" s="5" t="s">
        <v>54</v>
      </c>
      <c r="I103" s="5" t="s">
        <v>539</v>
      </c>
      <c r="J103" s="5" t="s">
        <v>56</v>
      </c>
      <c r="K103" s="5" t="s">
        <v>57</v>
      </c>
      <c r="L103" s="5" t="s">
        <v>58</v>
      </c>
      <c r="M103" s="5" t="s">
        <v>59</v>
      </c>
      <c r="N103" s="5" t="s">
        <v>60</v>
      </c>
      <c r="O103" s="5" t="s">
        <v>60</v>
      </c>
      <c r="P103" s="5" t="s">
        <v>61</v>
      </c>
      <c r="Q103" s="5" t="s">
        <v>62</v>
      </c>
      <c r="R103" s="5" t="s">
        <v>63</v>
      </c>
      <c r="S103" s="5" t="s">
        <v>64</v>
      </c>
      <c r="T103" s="5" t="s">
        <v>65</v>
      </c>
      <c r="U103" s="5" t="s">
        <v>66</v>
      </c>
      <c r="V103" s="5" t="s">
        <v>542</v>
      </c>
      <c r="W103" s="5" t="s">
        <v>543</v>
      </c>
      <c r="X103" s="5" t="s">
        <v>207</v>
      </c>
      <c r="Y103" s="5" t="s">
        <v>544</v>
      </c>
      <c r="Z103" s="5" t="s">
        <v>71</v>
      </c>
      <c r="AA103" s="5" t="s">
        <v>358</v>
      </c>
      <c r="AB103" s="5" t="s">
        <v>359</v>
      </c>
      <c r="AC103" s="5" t="s">
        <v>360</v>
      </c>
      <c r="AD103" s="5" t="s">
        <v>75</v>
      </c>
      <c r="AE103" s="5" t="s">
        <v>361</v>
      </c>
      <c r="AF103" s="6">
        <v>28840</v>
      </c>
      <c r="AG103" s="7">
        <v>1</v>
      </c>
      <c r="AH103" s="6">
        <v>28840</v>
      </c>
      <c r="AI103" s="5" t="s">
        <v>416</v>
      </c>
      <c r="AJ103" s="10">
        <v>45973</v>
      </c>
      <c r="AK103" s="5" t="s">
        <v>541</v>
      </c>
      <c r="AL103" s="5" t="s">
        <v>79</v>
      </c>
      <c r="AM103" s="5">
        <v>1619409</v>
      </c>
      <c r="AN103" s="5" t="s">
        <v>80</v>
      </c>
      <c r="AO103" s="5">
        <v>1094010</v>
      </c>
      <c r="AP103" s="5" t="s">
        <v>81</v>
      </c>
      <c r="AQ103" s="5" t="s">
        <v>64</v>
      </c>
      <c r="AR103" s="5" t="s">
        <v>207</v>
      </c>
      <c r="AS103" s="5"/>
      <c r="AT103" s="5"/>
      <c r="AU103" s="5"/>
      <c r="AV103" s="5"/>
      <c r="AW103" s="8"/>
      <c r="AX103" t="s">
        <v>1135</v>
      </c>
      <c r="AY103" t="s">
        <v>2152</v>
      </c>
    </row>
    <row r="104" spans="1:51" x14ac:dyDescent="0.35">
      <c r="A104" s="4" t="s">
        <v>441</v>
      </c>
      <c r="B104" s="5" t="s">
        <v>441</v>
      </c>
      <c r="C104" s="5" t="s">
        <v>533</v>
      </c>
      <c r="D104" s="5" t="s">
        <v>50</v>
      </c>
      <c r="E104" s="5" t="s">
        <v>51</v>
      </c>
      <c r="F104" s="5" t="s">
        <v>476</v>
      </c>
      <c r="G104" s="5" t="s">
        <v>53</v>
      </c>
      <c r="H104" s="5" t="s">
        <v>54</v>
      </c>
      <c r="I104" s="5" t="s">
        <v>545</v>
      </c>
      <c r="J104" s="5" t="s">
        <v>56</v>
      </c>
      <c r="K104" s="5" t="s">
        <v>57</v>
      </c>
      <c r="L104" s="5" t="s">
        <v>58</v>
      </c>
      <c r="M104" s="5" t="s">
        <v>59</v>
      </c>
      <c r="N104" s="5" t="s">
        <v>60</v>
      </c>
      <c r="O104" s="5" t="s">
        <v>60</v>
      </c>
      <c r="P104" s="5" t="s">
        <v>61</v>
      </c>
      <c r="Q104" s="5" t="s">
        <v>62</v>
      </c>
      <c r="R104" s="5" t="s">
        <v>63</v>
      </c>
      <c r="S104" s="5" t="s">
        <v>64</v>
      </c>
      <c r="T104" s="5" t="s">
        <v>65</v>
      </c>
      <c r="U104" s="5" t="s">
        <v>66</v>
      </c>
      <c r="V104" s="5" t="s">
        <v>535</v>
      </c>
      <c r="W104" s="5" t="s">
        <v>536</v>
      </c>
      <c r="X104" s="5" t="s">
        <v>207</v>
      </c>
      <c r="Y104" s="5" t="s">
        <v>537</v>
      </c>
      <c r="Z104" s="5" t="s">
        <v>71</v>
      </c>
      <c r="AA104" s="5" t="s">
        <v>87</v>
      </c>
      <c r="AB104" s="5" t="s">
        <v>88</v>
      </c>
      <c r="AC104" s="5" t="s">
        <v>89</v>
      </c>
      <c r="AD104" s="5" t="s">
        <v>75</v>
      </c>
      <c r="AE104" s="5" t="s">
        <v>117</v>
      </c>
      <c r="AF104" s="6">
        <v>4326</v>
      </c>
      <c r="AG104" s="7">
        <v>1</v>
      </c>
      <c r="AH104" s="6">
        <v>4326</v>
      </c>
      <c r="AI104" s="5" t="s">
        <v>118</v>
      </c>
      <c r="AJ104" s="10">
        <v>45973</v>
      </c>
      <c r="AK104" s="5" t="s">
        <v>546</v>
      </c>
      <c r="AL104" s="5" t="s">
        <v>79</v>
      </c>
      <c r="AM104" s="5">
        <v>1619409</v>
      </c>
      <c r="AN104" s="5" t="s">
        <v>80</v>
      </c>
      <c r="AO104" s="5">
        <v>1094010</v>
      </c>
      <c r="AP104" s="5" t="s">
        <v>81</v>
      </c>
      <c r="AQ104" s="5" t="s">
        <v>64</v>
      </c>
      <c r="AR104" s="5" t="s">
        <v>207</v>
      </c>
      <c r="AS104" s="5"/>
      <c r="AT104" s="5"/>
      <c r="AU104" s="5"/>
      <c r="AV104" s="5"/>
      <c r="AW104" s="8"/>
      <c r="AX104" t="s">
        <v>1135</v>
      </c>
      <c r="AY104" t="s">
        <v>2152</v>
      </c>
    </row>
    <row r="105" spans="1:51" x14ac:dyDescent="0.35">
      <c r="A105" s="4" t="s">
        <v>441</v>
      </c>
      <c r="B105" s="5" t="s">
        <v>441</v>
      </c>
      <c r="C105" s="5" t="s">
        <v>533</v>
      </c>
      <c r="D105" s="5" t="s">
        <v>50</v>
      </c>
      <c r="E105" s="5" t="s">
        <v>51</v>
      </c>
      <c r="F105" s="5" t="s">
        <v>476</v>
      </c>
      <c r="G105" s="5" t="s">
        <v>53</v>
      </c>
      <c r="H105" s="5" t="s">
        <v>54</v>
      </c>
      <c r="I105" s="5" t="s">
        <v>547</v>
      </c>
      <c r="J105" s="5" t="s">
        <v>56</v>
      </c>
      <c r="K105" s="5" t="s">
        <v>57</v>
      </c>
      <c r="L105" s="5" t="s">
        <v>58</v>
      </c>
      <c r="M105" s="5" t="s">
        <v>59</v>
      </c>
      <c r="N105" s="5" t="s">
        <v>60</v>
      </c>
      <c r="O105" s="5" t="s">
        <v>60</v>
      </c>
      <c r="P105" s="5" t="s">
        <v>61</v>
      </c>
      <c r="Q105" s="5" t="s">
        <v>62</v>
      </c>
      <c r="R105" s="5" t="s">
        <v>63</v>
      </c>
      <c r="S105" s="5" t="s">
        <v>64</v>
      </c>
      <c r="T105" s="5" t="s">
        <v>65</v>
      </c>
      <c r="U105" s="5" t="s">
        <v>66</v>
      </c>
      <c r="V105" s="5" t="s">
        <v>548</v>
      </c>
      <c r="W105" s="5" t="s">
        <v>549</v>
      </c>
      <c r="X105" s="5" t="s">
        <v>207</v>
      </c>
      <c r="Y105" s="5" t="s">
        <v>550</v>
      </c>
      <c r="Z105" s="5" t="s">
        <v>71</v>
      </c>
      <c r="AA105" s="5" t="s">
        <v>87</v>
      </c>
      <c r="AB105" s="5" t="s">
        <v>88</v>
      </c>
      <c r="AC105" s="5" t="s">
        <v>89</v>
      </c>
      <c r="AD105" s="5" t="s">
        <v>75</v>
      </c>
      <c r="AE105" s="5" t="s">
        <v>117</v>
      </c>
      <c r="AF105" s="6">
        <v>4326</v>
      </c>
      <c r="AG105" s="7">
        <v>1</v>
      </c>
      <c r="AH105" s="6">
        <v>4326</v>
      </c>
      <c r="AI105" s="5" t="s">
        <v>118</v>
      </c>
      <c r="AJ105" s="10">
        <v>45973</v>
      </c>
      <c r="AK105" s="5" t="s">
        <v>551</v>
      </c>
      <c r="AL105" s="5" t="s">
        <v>79</v>
      </c>
      <c r="AM105" s="5">
        <v>1619409</v>
      </c>
      <c r="AN105" s="5" t="s">
        <v>80</v>
      </c>
      <c r="AO105" s="5">
        <v>1094010</v>
      </c>
      <c r="AP105" s="5" t="s">
        <v>81</v>
      </c>
      <c r="AQ105" s="5" t="s">
        <v>64</v>
      </c>
      <c r="AR105" s="5" t="s">
        <v>207</v>
      </c>
      <c r="AS105" s="5"/>
      <c r="AT105" s="5"/>
      <c r="AU105" s="5"/>
      <c r="AV105" s="5"/>
      <c r="AW105" s="8"/>
      <c r="AX105" t="s">
        <v>1135</v>
      </c>
      <c r="AY105" t="s">
        <v>2152</v>
      </c>
    </row>
    <row r="106" spans="1:51" x14ac:dyDescent="0.35">
      <c r="A106" s="4" t="s">
        <v>441</v>
      </c>
      <c r="B106" s="5" t="s">
        <v>441</v>
      </c>
      <c r="C106" s="5" t="s">
        <v>533</v>
      </c>
      <c r="D106" s="5" t="s">
        <v>50</v>
      </c>
      <c r="E106" s="5" t="s">
        <v>51</v>
      </c>
      <c r="F106" s="5" t="s">
        <v>476</v>
      </c>
      <c r="G106" s="5" t="s">
        <v>53</v>
      </c>
      <c r="H106" s="5" t="s">
        <v>54</v>
      </c>
      <c r="I106" s="5" t="s">
        <v>552</v>
      </c>
      <c r="J106" s="5" t="s">
        <v>56</v>
      </c>
      <c r="K106" s="5" t="s">
        <v>57</v>
      </c>
      <c r="L106" s="5" t="s">
        <v>58</v>
      </c>
      <c r="M106" s="5" t="s">
        <v>59</v>
      </c>
      <c r="N106" s="5" t="s">
        <v>60</v>
      </c>
      <c r="O106" s="5" t="s">
        <v>60</v>
      </c>
      <c r="P106" s="5" t="s">
        <v>61</v>
      </c>
      <c r="Q106" s="5" t="s">
        <v>62</v>
      </c>
      <c r="R106" s="5" t="s">
        <v>63</v>
      </c>
      <c r="S106" s="5" t="s">
        <v>64</v>
      </c>
      <c r="T106" s="5" t="s">
        <v>65</v>
      </c>
      <c r="U106" s="5" t="s">
        <v>66</v>
      </c>
      <c r="V106" s="5" t="s">
        <v>166</v>
      </c>
      <c r="W106" s="5" t="s">
        <v>470</v>
      </c>
      <c r="X106" s="5" t="s">
        <v>450</v>
      </c>
      <c r="Y106" s="5" t="s">
        <v>169</v>
      </c>
      <c r="Z106" s="5" t="s">
        <v>71</v>
      </c>
      <c r="AA106" s="5" t="s">
        <v>87</v>
      </c>
      <c r="AB106" s="5" t="s">
        <v>104</v>
      </c>
      <c r="AC106" s="5" t="s">
        <v>105</v>
      </c>
      <c r="AD106" s="5" t="s">
        <v>75</v>
      </c>
      <c r="AE106" s="5" t="s">
        <v>170</v>
      </c>
      <c r="AF106" s="6">
        <v>2920</v>
      </c>
      <c r="AG106" s="7">
        <v>1</v>
      </c>
      <c r="AH106" s="6">
        <v>2920</v>
      </c>
      <c r="AI106" s="5" t="s">
        <v>416</v>
      </c>
      <c r="AJ106" s="10">
        <v>45973</v>
      </c>
      <c r="AK106" s="5" t="s">
        <v>553</v>
      </c>
      <c r="AL106" s="5" t="s">
        <v>79</v>
      </c>
      <c r="AM106" s="5">
        <v>1619409</v>
      </c>
      <c r="AN106" s="5" t="s">
        <v>80</v>
      </c>
      <c r="AO106" s="5">
        <v>1094010</v>
      </c>
      <c r="AP106" s="5" t="s">
        <v>81</v>
      </c>
      <c r="AQ106" s="5" t="s">
        <v>64</v>
      </c>
      <c r="AR106" s="5" t="s">
        <v>450</v>
      </c>
      <c r="AS106" s="5"/>
      <c r="AT106" s="5"/>
      <c r="AU106" s="5"/>
      <c r="AV106" s="5"/>
      <c r="AW106" s="8"/>
      <c r="AX106" t="s">
        <v>1135</v>
      </c>
      <c r="AY106" t="s">
        <v>2152</v>
      </c>
    </row>
    <row r="107" spans="1:51" x14ac:dyDescent="0.35">
      <c r="A107" s="4" t="s">
        <v>441</v>
      </c>
      <c r="B107" s="5" t="s">
        <v>441</v>
      </c>
      <c r="C107" s="5" t="s">
        <v>533</v>
      </c>
      <c r="D107" s="5" t="s">
        <v>50</v>
      </c>
      <c r="E107" s="5" t="s">
        <v>51</v>
      </c>
      <c r="F107" s="5" t="s">
        <v>476</v>
      </c>
      <c r="G107" s="5" t="s">
        <v>53</v>
      </c>
      <c r="H107" s="5" t="s">
        <v>54</v>
      </c>
      <c r="I107" s="5" t="s">
        <v>552</v>
      </c>
      <c r="J107" s="5" t="s">
        <v>56</v>
      </c>
      <c r="K107" s="5" t="s">
        <v>57</v>
      </c>
      <c r="L107" s="5" t="s">
        <v>58</v>
      </c>
      <c r="M107" s="5" t="s">
        <v>59</v>
      </c>
      <c r="N107" s="5" t="s">
        <v>60</v>
      </c>
      <c r="O107" s="5" t="s">
        <v>60</v>
      </c>
      <c r="P107" s="5" t="s">
        <v>61</v>
      </c>
      <c r="Q107" s="5" t="s">
        <v>62</v>
      </c>
      <c r="R107" s="5" t="s">
        <v>63</v>
      </c>
      <c r="S107" s="5" t="s">
        <v>64</v>
      </c>
      <c r="T107" s="5" t="s">
        <v>65</v>
      </c>
      <c r="U107" s="5" t="s">
        <v>66</v>
      </c>
      <c r="V107" s="5" t="s">
        <v>502</v>
      </c>
      <c r="W107" s="5" t="s">
        <v>503</v>
      </c>
      <c r="X107" s="5" t="s">
        <v>504</v>
      </c>
      <c r="Y107" s="5" t="s">
        <v>505</v>
      </c>
      <c r="Z107" s="5" t="s">
        <v>71</v>
      </c>
      <c r="AA107" s="5" t="s">
        <v>87</v>
      </c>
      <c r="AB107" s="5" t="s">
        <v>88</v>
      </c>
      <c r="AC107" s="5" t="s">
        <v>89</v>
      </c>
      <c r="AD107" s="5" t="s">
        <v>75</v>
      </c>
      <c r="AE107" s="5" t="s">
        <v>97</v>
      </c>
      <c r="AF107" s="6">
        <v>4326</v>
      </c>
      <c r="AG107" s="7">
        <v>1</v>
      </c>
      <c r="AH107" s="6">
        <v>4326</v>
      </c>
      <c r="AI107" s="5" t="s">
        <v>506</v>
      </c>
      <c r="AJ107" s="10">
        <v>45973</v>
      </c>
      <c r="AK107" s="5" t="s">
        <v>553</v>
      </c>
      <c r="AL107" s="5" t="s">
        <v>79</v>
      </c>
      <c r="AM107" s="5">
        <v>1619409</v>
      </c>
      <c r="AN107" s="5" t="s">
        <v>80</v>
      </c>
      <c r="AO107" s="5">
        <v>1094010</v>
      </c>
      <c r="AP107" s="5" t="s">
        <v>81</v>
      </c>
      <c r="AQ107" s="5" t="s">
        <v>64</v>
      </c>
      <c r="AR107" s="5" t="s">
        <v>504</v>
      </c>
      <c r="AS107" s="5"/>
      <c r="AT107" s="5"/>
      <c r="AU107" s="5"/>
      <c r="AV107" s="5"/>
      <c r="AW107" s="8"/>
      <c r="AX107" t="s">
        <v>1135</v>
      </c>
      <c r="AY107" t="s">
        <v>2152</v>
      </c>
    </row>
    <row r="108" spans="1:51" x14ac:dyDescent="0.35">
      <c r="A108" s="4" t="s">
        <v>441</v>
      </c>
      <c r="B108" s="5" t="s">
        <v>441</v>
      </c>
      <c r="C108" s="5" t="s">
        <v>533</v>
      </c>
      <c r="D108" s="5" t="s">
        <v>50</v>
      </c>
      <c r="E108" s="5" t="s">
        <v>51</v>
      </c>
      <c r="F108" s="5" t="s">
        <v>554</v>
      </c>
      <c r="G108" s="5" t="s">
        <v>53</v>
      </c>
      <c r="H108" s="5" t="s">
        <v>54</v>
      </c>
      <c r="I108" s="5" t="s">
        <v>555</v>
      </c>
      <c r="J108" s="5" t="s">
        <v>56</v>
      </c>
      <c r="K108" s="5" t="s">
        <v>57</v>
      </c>
      <c r="L108" s="5" t="s">
        <v>58</v>
      </c>
      <c r="M108" s="5" t="s">
        <v>59</v>
      </c>
      <c r="N108" s="5" t="s">
        <v>60</v>
      </c>
      <c r="O108" s="5" t="s">
        <v>60</v>
      </c>
      <c r="P108" s="5" t="s">
        <v>61</v>
      </c>
      <c r="Q108" s="5" t="s">
        <v>62</v>
      </c>
      <c r="R108" s="5" t="s">
        <v>63</v>
      </c>
      <c r="S108" s="5" t="s">
        <v>64</v>
      </c>
      <c r="T108" s="5" t="s">
        <v>65</v>
      </c>
      <c r="U108" s="5" t="s">
        <v>66</v>
      </c>
      <c r="V108" s="5" t="s">
        <v>220</v>
      </c>
      <c r="W108" s="5" t="s">
        <v>556</v>
      </c>
      <c r="X108" s="5" t="s">
        <v>434</v>
      </c>
      <c r="Y108" s="5" t="s">
        <v>222</v>
      </c>
      <c r="Z108" s="5" t="s">
        <v>71</v>
      </c>
      <c r="AA108" s="5" t="s">
        <v>72</v>
      </c>
      <c r="AB108" s="5" t="s">
        <v>73</v>
      </c>
      <c r="AC108" s="5" t="s">
        <v>74</v>
      </c>
      <c r="AD108" s="5" t="s">
        <v>75</v>
      </c>
      <c r="AE108" s="5" t="s">
        <v>223</v>
      </c>
      <c r="AF108" s="6">
        <v>35203.86</v>
      </c>
      <c r="AG108" s="7">
        <v>1</v>
      </c>
      <c r="AH108" s="6">
        <v>35203.86</v>
      </c>
      <c r="AI108" s="5" t="s">
        <v>557</v>
      </c>
      <c r="AJ108" s="10">
        <v>45973</v>
      </c>
      <c r="AK108" s="5" t="s">
        <v>553</v>
      </c>
      <c r="AL108" s="5" t="s">
        <v>79</v>
      </c>
      <c r="AM108" s="5">
        <v>1619409</v>
      </c>
      <c r="AN108" s="5" t="s">
        <v>80</v>
      </c>
      <c r="AO108" s="5">
        <v>1094010</v>
      </c>
      <c r="AP108" s="5" t="s">
        <v>81</v>
      </c>
      <c r="AQ108" s="5" t="s">
        <v>64</v>
      </c>
      <c r="AR108" s="5" t="s">
        <v>434</v>
      </c>
      <c r="AS108" s="5"/>
      <c r="AT108" s="5"/>
      <c r="AU108" s="5"/>
      <c r="AV108" s="5"/>
      <c r="AW108" s="8"/>
      <c r="AX108" t="s">
        <v>1135</v>
      </c>
      <c r="AY108" t="s">
        <v>2152</v>
      </c>
    </row>
    <row r="109" spans="1:51" x14ac:dyDescent="0.35">
      <c r="A109" s="4" t="s">
        <v>441</v>
      </c>
      <c r="B109" s="5" t="s">
        <v>441</v>
      </c>
      <c r="C109" s="5" t="s">
        <v>533</v>
      </c>
      <c r="D109" s="5" t="s">
        <v>50</v>
      </c>
      <c r="E109" s="5" t="s">
        <v>51</v>
      </c>
      <c r="F109" s="5" t="s">
        <v>558</v>
      </c>
      <c r="G109" s="5" t="s">
        <v>53</v>
      </c>
      <c r="H109" s="5" t="s">
        <v>54</v>
      </c>
      <c r="I109" s="5" t="s">
        <v>559</v>
      </c>
      <c r="J109" s="5" t="s">
        <v>56</v>
      </c>
      <c r="K109" s="5" t="s">
        <v>57</v>
      </c>
      <c r="L109" s="5" t="s">
        <v>58</v>
      </c>
      <c r="M109" s="5" t="s">
        <v>59</v>
      </c>
      <c r="N109" s="5" t="s">
        <v>60</v>
      </c>
      <c r="O109" s="5" t="s">
        <v>60</v>
      </c>
      <c r="P109" s="5" t="s">
        <v>61</v>
      </c>
      <c r="Q109" s="5" t="s">
        <v>62</v>
      </c>
      <c r="R109" s="5" t="s">
        <v>63</v>
      </c>
      <c r="S109" s="5" t="s">
        <v>64</v>
      </c>
      <c r="T109" s="5" t="s">
        <v>65</v>
      </c>
      <c r="U109" s="5" t="s">
        <v>66</v>
      </c>
      <c r="V109" s="5" t="s">
        <v>333</v>
      </c>
      <c r="W109" s="5" t="s">
        <v>560</v>
      </c>
      <c r="X109" s="5" t="s">
        <v>428</v>
      </c>
      <c r="Y109" s="5" t="s">
        <v>335</v>
      </c>
      <c r="Z109" s="5" t="s">
        <v>71</v>
      </c>
      <c r="AA109" s="5" t="s">
        <v>72</v>
      </c>
      <c r="AB109" s="5" t="s">
        <v>73</v>
      </c>
      <c r="AC109" s="5" t="s">
        <v>74</v>
      </c>
      <c r="AD109" s="5" t="s">
        <v>75</v>
      </c>
      <c r="AE109" s="5" t="s">
        <v>336</v>
      </c>
      <c r="AF109" s="6">
        <v>35203.86</v>
      </c>
      <c r="AG109" s="7">
        <v>1</v>
      </c>
      <c r="AH109" s="6">
        <v>35203.86</v>
      </c>
      <c r="AI109" s="5" t="s">
        <v>321</v>
      </c>
      <c r="AJ109" s="10">
        <v>45973</v>
      </c>
      <c r="AK109" s="5" t="s">
        <v>546</v>
      </c>
      <c r="AL109" s="5" t="s">
        <v>79</v>
      </c>
      <c r="AM109" s="5">
        <v>1619409</v>
      </c>
      <c r="AN109" s="5" t="s">
        <v>80</v>
      </c>
      <c r="AO109" s="5">
        <v>1094010</v>
      </c>
      <c r="AP109" s="5" t="s">
        <v>81</v>
      </c>
      <c r="AQ109" s="5" t="s">
        <v>64</v>
      </c>
      <c r="AR109" s="5" t="s">
        <v>428</v>
      </c>
      <c r="AS109" s="5"/>
      <c r="AT109" s="5"/>
      <c r="AU109" s="5"/>
      <c r="AV109" s="5"/>
      <c r="AW109" s="8"/>
      <c r="AX109" t="s">
        <v>1135</v>
      </c>
      <c r="AY109" t="s">
        <v>2152</v>
      </c>
    </row>
    <row r="110" spans="1:51" x14ac:dyDescent="0.35">
      <c r="A110" s="4" t="s">
        <v>441</v>
      </c>
      <c r="B110" s="5" t="s">
        <v>441</v>
      </c>
      <c r="C110" s="5" t="s">
        <v>561</v>
      </c>
      <c r="D110" s="5" t="s">
        <v>50</v>
      </c>
      <c r="E110" s="5" t="s">
        <v>51</v>
      </c>
      <c r="F110" s="5" t="s">
        <v>476</v>
      </c>
      <c r="G110" s="5" t="s">
        <v>53</v>
      </c>
      <c r="H110" s="5" t="s">
        <v>54</v>
      </c>
      <c r="I110" s="5" t="s">
        <v>562</v>
      </c>
      <c r="J110" s="5" t="s">
        <v>56</v>
      </c>
      <c r="K110" s="5" t="s">
        <v>57</v>
      </c>
      <c r="L110" s="5" t="s">
        <v>58</v>
      </c>
      <c r="M110" s="5" t="s">
        <v>59</v>
      </c>
      <c r="N110" s="5" t="s">
        <v>60</v>
      </c>
      <c r="O110" s="5" t="s">
        <v>60</v>
      </c>
      <c r="P110" s="5" t="s">
        <v>61</v>
      </c>
      <c r="Q110" s="5" t="s">
        <v>62</v>
      </c>
      <c r="R110" s="5" t="s">
        <v>63</v>
      </c>
      <c r="S110" s="5" t="s">
        <v>64</v>
      </c>
      <c r="T110" s="5" t="s">
        <v>65</v>
      </c>
      <c r="U110" s="5" t="s">
        <v>66</v>
      </c>
      <c r="V110" s="5" t="s">
        <v>548</v>
      </c>
      <c r="W110" s="5" t="s">
        <v>563</v>
      </c>
      <c r="X110" s="5" t="s">
        <v>218</v>
      </c>
      <c r="Y110" s="5" t="s">
        <v>550</v>
      </c>
      <c r="Z110" s="5" t="s">
        <v>71</v>
      </c>
      <c r="AA110" s="5" t="s">
        <v>87</v>
      </c>
      <c r="AB110" s="5" t="s">
        <v>88</v>
      </c>
      <c r="AC110" s="5" t="s">
        <v>89</v>
      </c>
      <c r="AD110" s="5" t="s">
        <v>75</v>
      </c>
      <c r="AE110" s="5" t="s">
        <v>117</v>
      </c>
      <c r="AF110" s="6">
        <v>4326</v>
      </c>
      <c r="AG110" s="7">
        <v>1</v>
      </c>
      <c r="AH110" s="6">
        <v>4326</v>
      </c>
      <c r="AI110" s="5" t="s">
        <v>390</v>
      </c>
      <c r="AJ110" s="10">
        <v>45974</v>
      </c>
      <c r="AK110" s="5" t="s">
        <v>564</v>
      </c>
      <c r="AL110" s="5" t="s">
        <v>79</v>
      </c>
      <c r="AM110" s="5">
        <v>1619409</v>
      </c>
      <c r="AN110" s="5" t="s">
        <v>80</v>
      </c>
      <c r="AO110" s="5">
        <v>1094010</v>
      </c>
      <c r="AP110" s="5" t="s">
        <v>81</v>
      </c>
      <c r="AQ110" s="5" t="s">
        <v>64</v>
      </c>
      <c r="AR110" s="5" t="s">
        <v>218</v>
      </c>
      <c r="AS110" s="5"/>
      <c r="AT110" s="5"/>
      <c r="AU110" s="5"/>
      <c r="AV110" s="5"/>
      <c r="AW110" s="8"/>
      <c r="AX110" t="s">
        <v>1135</v>
      </c>
      <c r="AY110" t="s">
        <v>2152</v>
      </c>
    </row>
    <row r="111" spans="1:51" x14ac:dyDescent="0.35">
      <c r="A111" s="4" t="s">
        <v>441</v>
      </c>
      <c r="B111" s="5" t="s">
        <v>441</v>
      </c>
      <c r="C111" s="5" t="s">
        <v>565</v>
      </c>
      <c r="D111" s="5" t="s">
        <v>50</v>
      </c>
      <c r="E111" s="5" t="s">
        <v>51</v>
      </c>
      <c r="F111" s="5" t="s">
        <v>558</v>
      </c>
      <c r="G111" s="5" t="s">
        <v>53</v>
      </c>
      <c r="H111" s="5" t="s">
        <v>54</v>
      </c>
      <c r="I111" s="5" t="s">
        <v>566</v>
      </c>
      <c r="J111" s="5" t="s">
        <v>56</v>
      </c>
      <c r="K111" s="5" t="s">
        <v>57</v>
      </c>
      <c r="L111" s="5" t="s">
        <v>58</v>
      </c>
      <c r="M111" s="5" t="s">
        <v>59</v>
      </c>
      <c r="N111" s="5" t="s">
        <v>60</v>
      </c>
      <c r="O111" s="5" t="s">
        <v>60</v>
      </c>
      <c r="P111" s="5" t="s">
        <v>61</v>
      </c>
      <c r="Q111" s="5" t="s">
        <v>62</v>
      </c>
      <c r="R111" s="5" t="s">
        <v>63</v>
      </c>
      <c r="S111" s="5" t="s">
        <v>64</v>
      </c>
      <c r="T111" s="5" t="s">
        <v>65</v>
      </c>
      <c r="U111" s="5" t="s">
        <v>66</v>
      </c>
      <c r="V111" s="5" t="s">
        <v>216</v>
      </c>
      <c r="W111" s="5" t="s">
        <v>217</v>
      </c>
      <c r="X111" s="5" t="s">
        <v>218</v>
      </c>
      <c r="Y111" s="5" t="s">
        <v>219</v>
      </c>
      <c r="Z111" s="5" t="s">
        <v>71</v>
      </c>
      <c r="AA111" s="5" t="s">
        <v>87</v>
      </c>
      <c r="AB111" s="5" t="s">
        <v>88</v>
      </c>
      <c r="AC111" s="5" t="s">
        <v>89</v>
      </c>
      <c r="AD111" s="5" t="s">
        <v>75</v>
      </c>
      <c r="AE111" s="5" t="s">
        <v>124</v>
      </c>
      <c r="AF111" s="6">
        <v>4326</v>
      </c>
      <c r="AG111" s="7">
        <v>1</v>
      </c>
      <c r="AH111" s="6">
        <v>4326</v>
      </c>
      <c r="AI111" s="5" t="s">
        <v>118</v>
      </c>
      <c r="AJ111" s="10">
        <v>45975</v>
      </c>
      <c r="AK111" s="5" t="s">
        <v>567</v>
      </c>
      <c r="AL111" s="5" t="s">
        <v>79</v>
      </c>
      <c r="AM111" s="5">
        <v>1619409</v>
      </c>
      <c r="AN111" s="5" t="s">
        <v>80</v>
      </c>
      <c r="AO111" s="5">
        <v>1094010</v>
      </c>
      <c r="AP111" s="5" t="s">
        <v>81</v>
      </c>
      <c r="AQ111" s="5" t="s">
        <v>64</v>
      </c>
      <c r="AR111" s="5" t="s">
        <v>218</v>
      </c>
      <c r="AS111" s="5"/>
      <c r="AT111" s="5"/>
      <c r="AU111" s="5"/>
      <c r="AV111" s="5"/>
      <c r="AW111" s="8"/>
      <c r="AX111" t="s">
        <v>1135</v>
      </c>
      <c r="AY111" t="s">
        <v>2152</v>
      </c>
    </row>
    <row r="112" spans="1:51" x14ac:dyDescent="0.35">
      <c r="A112" s="4" t="s">
        <v>441</v>
      </c>
      <c r="B112" s="5" t="s">
        <v>441</v>
      </c>
      <c r="C112" s="5" t="s">
        <v>565</v>
      </c>
      <c r="D112" s="5" t="s">
        <v>50</v>
      </c>
      <c r="E112" s="5" t="s">
        <v>51</v>
      </c>
      <c r="F112" s="5" t="s">
        <v>558</v>
      </c>
      <c r="G112" s="5" t="s">
        <v>53</v>
      </c>
      <c r="H112" s="5" t="s">
        <v>54</v>
      </c>
      <c r="I112" s="5" t="s">
        <v>568</v>
      </c>
      <c r="J112" s="5" t="s">
        <v>56</v>
      </c>
      <c r="K112" s="5" t="s">
        <v>57</v>
      </c>
      <c r="L112" s="5" t="s">
        <v>58</v>
      </c>
      <c r="M112" s="5" t="s">
        <v>59</v>
      </c>
      <c r="N112" s="5" t="s">
        <v>60</v>
      </c>
      <c r="O112" s="5" t="s">
        <v>60</v>
      </c>
      <c r="P112" s="5" t="s">
        <v>61</v>
      </c>
      <c r="Q112" s="5" t="s">
        <v>62</v>
      </c>
      <c r="R112" s="5" t="s">
        <v>63</v>
      </c>
      <c r="S112" s="5" t="s">
        <v>64</v>
      </c>
      <c r="T112" s="5" t="s">
        <v>65</v>
      </c>
      <c r="U112" s="5" t="s">
        <v>66</v>
      </c>
      <c r="V112" s="5" t="s">
        <v>260</v>
      </c>
      <c r="W112" s="5" t="s">
        <v>569</v>
      </c>
      <c r="X112" s="5" t="s">
        <v>450</v>
      </c>
      <c r="Y112" s="5" t="s">
        <v>262</v>
      </c>
      <c r="Z112" s="5" t="s">
        <v>71</v>
      </c>
      <c r="AA112" s="5" t="s">
        <v>87</v>
      </c>
      <c r="AB112" s="5" t="s">
        <v>104</v>
      </c>
      <c r="AC112" s="5" t="s">
        <v>105</v>
      </c>
      <c r="AD112" s="5" t="s">
        <v>75</v>
      </c>
      <c r="AE112" s="5" t="s">
        <v>263</v>
      </c>
      <c r="AF112" s="6">
        <v>2920</v>
      </c>
      <c r="AG112" s="7">
        <v>1</v>
      </c>
      <c r="AH112" s="6">
        <v>2920</v>
      </c>
      <c r="AI112" s="5" t="s">
        <v>280</v>
      </c>
      <c r="AJ112" s="10">
        <v>45975</v>
      </c>
      <c r="AK112" s="5" t="s">
        <v>570</v>
      </c>
      <c r="AL112" s="5" t="s">
        <v>79</v>
      </c>
      <c r="AM112" s="5">
        <v>1619409</v>
      </c>
      <c r="AN112" s="5" t="s">
        <v>80</v>
      </c>
      <c r="AO112" s="5">
        <v>1094010</v>
      </c>
      <c r="AP112" s="5" t="s">
        <v>81</v>
      </c>
      <c r="AQ112" s="5" t="s">
        <v>64</v>
      </c>
      <c r="AR112" s="5" t="s">
        <v>450</v>
      </c>
      <c r="AS112" s="5"/>
      <c r="AT112" s="5"/>
      <c r="AU112" s="5"/>
      <c r="AV112" s="5"/>
      <c r="AW112" s="8"/>
      <c r="AX112" t="s">
        <v>1135</v>
      </c>
      <c r="AY112" t="s">
        <v>2152</v>
      </c>
    </row>
    <row r="113" spans="1:51" x14ac:dyDescent="0.35">
      <c r="A113" s="4" t="s">
        <v>441</v>
      </c>
      <c r="B113" s="5" t="s">
        <v>441</v>
      </c>
      <c r="C113" s="5" t="s">
        <v>565</v>
      </c>
      <c r="D113" s="5" t="s">
        <v>50</v>
      </c>
      <c r="E113" s="5" t="s">
        <v>51</v>
      </c>
      <c r="F113" s="5" t="s">
        <v>558</v>
      </c>
      <c r="G113" s="5" t="s">
        <v>53</v>
      </c>
      <c r="H113" s="5" t="s">
        <v>54</v>
      </c>
      <c r="I113" s="5" t="s">
        <v>571</v>
      </c>
      <c r="J113" s="5" t="s">
        <v>56</v>
      </c>
      <c r="K113" s="5" t="s">
        <v>57</v>
      </c>
      <c r="L113" s="5" t="s">
        <v>58</v>
      </c>
      <c r="M113" s="5" t="s">
        <v>59</v>
      </c>
      <c r="N113" s="5" t="s">
        <v>60</v>
      </c>
      <c r="O113" s="5" t="s">
        <v>60</v>
      </c>
      <c r="P113" s="5" t="s">
        <v>61</v>
      </c>
      <c r="Q113" s="5" t="s">
        <v>62</v>
      </c>
      <c r="R113" s="5" t="s">
        <v>63</v>
      </c>
      <c r="S113" s="5" t="s">
        <v>64</v>
      </c>
      <c r="T113" s="5" t="s">
        <v>65</v>
      </c>
      <c r="U113" s="5" t="s">
        <v>66</v>
      </c>
      <c r="V113" s="5" t="s">
        <v>572</v>
      </c>
      <c r="W113" s="5" t="s">
        <v>573</v>
      </c>
      <c r="X113" s="5" t="s">
        <v>207</v>
      </c>
      <c r="Y113" s="5" t="s">
        <v>574</v>
      </c>
      <c r="Z113" s="5" t="s">
        <v>71</v>
      </c>
      <c r="AA113" s="5" t="s">
        <v>249</v>
      </c>
      <c r="AB113" s="5" t="s">
        <v>250</v>
      </c>
      <c r="AC113" s="5" t="s">
        <v>251</v>
      </c>
      <c r="AD113" s="5" t="s">
        <v>75</v>
      </c>
      <c r="AE113" s="5" t="s">
        <v>315</v>
      </c>
      <c r="AF113" s="6">
        <v>30900</v>
      </c>
      <c r="AG113" s="7">
        <v>1</v>
      </c>
      <c r="AH113" s="6">
        <v>30900</v>
      </c>
      <c r="AI113" s="5" t="s">
        <v>154</v>
      </c>
      <c r="AJ113" s="10">
        <v>45975</v>
      </c>
      <c r="AK113" s="5" t="s">
        <v>575</v>
      </c>
      <c r="AL113" s="5" t="s">
        <v>79</v>
      </c>
      <c r="AM113" s="5">
        <v>1619409</v>
      </c>
      <c r="AN113" s="5" t="s">
        <v>80</v>
      </c>
      <c r="AO113" s="5">
        <v>1094010</v>
      </c>
      <c r="AP113" s="5" t="s">
        <v>81</v>
      </c>
      <c r="AQ113" s="5" t="s">
        <v>64</v>
      </c>
      <c r="AR113" s="5" t="s">
        <v>207</v>
      </c>
      <c r="AS113" s="5"/>
      <c r="AT113" s="5"/>
      <c r="AU113" s="5"/>
      <c r="AV113" s="5"/>
      <c r="AW113" s="8"/>
      <c r="AX113" t="s">
        <v>1135</v>
      </c>
      <c r="AY113" t="s">
        <v>2152</v>
      </c>
    </row>
    <row r="114" spans="1:51" x14ac:dyDescent="0.35">
      <c r="A114" s="4" t="s">
        <v>441</v>
      </c>
      <c r="B114" s="5" t="s">
        <v>441</v>
      </c>
      <c r="C114" s="5" t="s">
        <v>576</v>
      </c>
      <c r="D114" s="5" t="s">
        <v>50</v>
      </c>
      <c r="E114" s="5" t="s">
        <v>51</v>
      </c>
      <c r="F114" s="5" t="s">
        <v>558</v>
      </c>
      <c r="G114" s="5" t="s">
        <v>53</v>
      </c>
      <c r="H114" s="5" t="s">
        <v>54</v>
      </c>
      <c r="I114" s="5" t="s">
        <v>577</v>
      </c>
      <c r="J114" s="5" t="s">
        <v>56</v>
      </c>
      <c r="K114" s="5" t="s">
        <v>57</v>
      </c>
      <c r="L114" s="5" t="s">
        <v>58</v>
      </c>
      <c r="M114" s="5" t="s">
        <v>59</v>
      </c>
      <c r="N114" s="5" t="s">
        <v>60</v>
      </c>
      <c r="O114" s="5" t="s">
        <v>60</v>
      </c>
      <c r="P114" s="5" t="s">
        <v>61</v>
      </c>
      <c r="Q114" s="5" t="s">
        <v>62</v>
      </c>
      <c r="R114" s="5" t="s">
        <v>63</v>
      </c>
      <c r="S114" s="5" t="s">
        <v>64</v>
      </c>
      <c r="T114" s="5" t="s">
        <v>65</v>
      </c>
      <c r="U114" s="5" t="s">
        <v>66</v>
      </c>
      <c r="V114" s="5" t="s">
        <v>151</v>
      </c>
      <c r="W114" s="5" t="s">
        <v>152</v>
      </c>
      <c r="X114" s="5" t="s">
        <v>95</v>
      </c>
      <c r="Y114" s="5" t="s">
        <v>153</v>
      </c>
      <c r="Z114" s="5" t="s">
        <v>71</v>
      </c>
      <c r="AA114" s="5" t="s">
        <v>87</v>
      </c>
      <c r="AB114" s="5" t="s">
        <v>88</v>
      </c>
      <c r="AC114" s="5" t="s">
        <v>89</v>
      </c>
      <c r="AD114" s="5" t="s">
        <v>75</v>
      </c>
      <c r="AE114" s="5" t="s">
        <v>97</v>
      </c>
      <c r="AF114" s="6">
        <v>4326</v>
      </c>
      <c r="AG114" s="7">
        <v>1</v>
      </c>
      <c r="AH114" s="6">
        <v>4326</v>
      </c>
      <c r="AI114" s="5" t="s">
        <v>154</v>
      </c>
      <c r="AJ114" s="10">
        <v>45976</v>
      </c>
      <c r="AK114" s="5" t="s">
        <v>578</v>
      </c>
      <c r="AL114" s="5" t="s">
        <v>79</v>
      </c>
      <c r="AM114" s="5">
        <v>1619409</v>
      </c>
      <c r="AN114" s="5" t="s">
        <v>80</v>
      </c>
      <c r="AO114" s="5">
        <v>1094010</v>
      </c>
      <c r="AP114" s="5" t="s">
        <v>81</v>
      </c>
      <c r="AQ114" s="5" t="s">
        <v>64</v>
      </c>
      <c r="AR114" s="5" t="s">
        <v>95</v>
      </c>
      <c r="AS114" s="5"/>
      <c r="AT114" s="5"/>
      <c r="AU114" s="5"/>
      <c r="AV114" s="5"/>
      <c r="AW114" s="8"/>
      <c r="AX114" t="s">
        <v>1135</v>
      </c>
      <c r="AY114" t="s">
        <v>2152</v>
      </c>
    </row>
    <row r="115" spans="1:51" x14ac:dyDescent="0.35">
      <c r="A115" s="4" t="s">
        <v>441</v>
      </c>
      <c r="B115" s="5" t="s">
        <v>441</v>
      </c>
      <c r="C115" s="5" t="s">
        <v>576</v>
      </c>
      <c r="D115" s="5" t="s">
        <v>50</v>
      </c>
      <c r="E115" s="5" t="s">
        <v>51</v>
      </c>
      <c r="F115" s="5" t="s">
        <v>558</v>
      </c>
      <c r="G115" s="5" t="s">
        <v>53</v>
      </c>
      <c r="H115" s="5" t="s">
        <v>54</v>
      </c>
      <c r="I115" s="5" t="s">
        <v>579</v>
      </c>
      <c r="J115" s="5" t="s">
        <v>56</v>
      </c>
      <c r="K115" s="5" t="s">
        <v>57</v>
      </c>
      <c r="L115" s="5" t="s">
        <v>58</v>
      </c>
      <c r="M115" s="5" t="s">
        <v>59</v>
      </c>
      <c r="N115" s="5" t="s">
        <v>60</v>
      </c>
      <c r="O115" s="5" t="s">
        <v>60</v>
      </c>
      <c r="P115" s="5" t="s">
        <v>61</v>
      </c>
      <c r="Q115" s="5" t="s">
        <v>62</v>
      </c>
      <c r="R115" s="5" t="s">
        <v>63</v>
      </c>
      <c r="S115" s="5" t="s">
        <v>64</v>
      </c>
      <c r="T115" s="5" t="s">
        <v>65</v>
      </c>
      <c r="U115" s="5" t="s">
        <v>66</v>
      </c>
      <c r="V115" s="5" t="s">
        <v>212</v>
      </c>
      <c r="W115" s="5" t="s">
        <v>580</v>
      </c>
      <c r="X115" s="5" t="s">
        <v>207</v>
      </c>
      <c r="Y115" s="5" t="s">
        <v>214</v>
      </c>
      <c r="Z115" s="5" t="s">
        <v>71</v>
      </c>
      <c r="AA115" s="5" t="s">
        <v>87</v>
      </c>
      <c r="AB115" s="5" t="s">
        <v>88</v>
      </c>
      <c r="AC115" s="5" t="s">
        <v>89</v>
      </c>
      <c r="AD115" s="5" t="s">
        <v>75</v>
      </c>
      <c r="AE115" s="5" t="s">
        <v>117</v>
      </c>
      <c r="AF115" s="6">
        <v>4326</v>
      </c>
      <c r="AG115" s="7">
        <v>1</v>
      </c>
      <c r="AH115" s="6">
        <v>4326</v>
      </c>
      <c r="AI115" s="5" t="s">
        <v>581</v>
      </c>
      <c r="AJ115" s="10">
        <v>45976</v>
      </c>
      <c r="AK115" s="5" t="s">
        <v>582</v>
      </c>
      <c r="AL115" s="5" t="s">
        <v>79</v>
      </c>
      <c r="AM115" s="5">
        <v>1619409</v>
      </c>
      <c r="AN115" s="5" t="s">
        <v>80</v>
      </c>
      <c r="AO115" s="5">
        <v>1094010</v>
      </c>
      <c r="AP115" s="5" t="s">
        <v>81</v>
      </c>
      <c r="AQ115" s="5" t="s">
        <v>64</v>
      </c>
      <c r="AR115" s="5" t="s">
        <v>207</v>
      </c>
      <c r="AS115" s="5"/>
      <c r="AT115" s="5"/>
      <c r="AU115" s="5"/>
      <c r="AV115" s="5"/>
      <c r="AW115" s="8"/>
      <c r="AX115" t="s">
        <v>1135</v>
      </c>
      <c r="AY115" t="s">
        <v>2152</v>
      </c>
    </row>
    <row r="116" spans="1:51" x14ac:dyDescent="0.35">
      <c r="A116" s="4" t="s">
        <v>441</v>
      </c>
      <c r="B116" s="5" t="s">
        <v>441</v>
      </c>
      <c r="C116" s="5" t="s">
        <v>455</v>
      </c>
      <c r="D116" s="5" t="s">
        <v>50</v>
      </c>
      <c r="E116" s="5" t="s">
        <v>51</v>
      </c>
      <c r="F116" s="5" t="s">
        <v>558</v>
      </c>
      <c r="G116" s="5" t="s">
        <v>53</v>
      </c>
      <c r="H116" s="5" t="s">
        <v>54</v>
      </c>
      <c r="I116" s="5" t="s">
        <v>583</v>
      </c>
      <c r="J116" s="5" t="s">
        <v>56</v>
      </c>
      <c r="K116" s="5" t="s">
        <v>57</v>
      </c>
      <c r="L116" s="5" t="s">
        <v>58</v>
      </c>
      <c r="M116" s="5" t="s">
        <v>59</v>
      </c>
      <c r="N116" s="5" t="s">
        <v>60</v>
      </c>
      <c r="O116" s="5" t="s">
        <v>60</v>
      </c>
      <c r="P116" s="5" t="s">
        <v>61</v>
      </c>
      <c r="Q116" s="5" t="s">
        <v>62</v>
      </c>
      <c r="R116" s="5" t="s">
        <v>63</v>
      </c>
      <c r="S116" s="5" t="s">
        <v>64</v>
      </c>
      <c r="T116" s="5" t="s">
        <v>65</v>
      </c>
      <c r="U116" s="5" t="s">
        <v>66</v>
      </c>
      <c r="V116" s="5" t="s">
        <v>584</v>
      </c>
      <c r="W116" s="5" t="s">
        <v>585</v>
      </c>
      <c r="X116" s="5" t="s">
        <v>586</v>
      </c>
      <c r="Y116" s="5" t="s">
        <v>587</v>
      </c>
      <c r="Z116" s="5" t="s">
        <v>71</v>
      </c>
      <c r="AA116" s="5" t="s">
        <v>87</v>
      </c>
      <c r="AB116" s="5" t="s">
        <v>88</v>
      </c>
      <c r="AC116" s="5" t="s">
        <v>89</v>
      </c>
      <c r="AD116" s="5" t="s">
        <v>75</v>
      </c>
      <c r="AE116" s="5" t="s">
        <v>124</v>
      </c>
      <c r="AF116" s="6">
        <v>4200</v>
      </c>
      <c r="AG116" s="7">
        <v>1</v>
      </c>
      <c r="AH116" s="6">
        <v>4200</v>
      </c>
      <c r="AI116" s="5" t="s">
        <v>588</v>
      </c>
      <c r="AJ116" s="10">
        <v>45978</v>
      </c>
      <c r="AK116" s="5" t="s">
        <v>589</v>
      </c>
      <c r="AL116" s="5" t="s">
        <v>79</v>
      </c>
      <c r="AM116" s="5">
        <v>1619409</v>
      </c>
      <c r="AN116" s="5" t="s">
        <v>80</v>
      </c>
      <c r="AO116" s="5">
        <v>1094010</v>
      </c>
      <c r="AP116" s="5" t="s">
        <v>81</v>
      </c>
      <c r="AQ116" s="5" t="s">
        <v>64</v>
      </c>
      <c r="AR116" s="5" t="s">
        <v>586</v>
      </c>
      <c r="AS116" s="5"/>
      <c r="AT116" s="5"/>
      <c r="AU116" s="5"/>
      <c r="AV116" s="5"/>
      <c r="AW116" s="8"/>
      <c r="AX116" t="s">
        <v>1135</v>
      </c>
      <c r="AY116" t="s">
        <v>2152</v>
      </c>
    </row>
    <row r="117" spans="1:51" x14ac:dyDescent="0.35">
      <c r="A117" s="4" t="s">
        <v>441</v>
      </c>
      <c r="B117" s="5" t="s">
        <v>441</v>
      </c>
      <c r="C117" s="5" t="s">
        <v>455</v>
      </c>
      <c r="D117" s="5" t="s">
        <v>50</v>
      </c>
      <c r="E117" s="5" t="s">
        <v>51</v>
      </c>
      <c r="F117" s="5" t="s">
        <v>558</v>
      </c>
      <c r="G117" s="5" t="s">
        <v>53</v>
      </c>
      <c r="H117" s="5" t="s">
        <v>54</v>
      </c>
      <c r="I117" s="5" t="s">
        <v>583</v>
      </c>
      <c r="J117" s="5" t="s">
        <v>56</v>
      </c>
      <c r="K117" s="5" t="s">
        <v>57</v>
      </c>
      <c r="L117" s="5" t="s">
        <v>58</v>
      </c>
      <c r="M117" s="5" t="s">
        <v>59</v>
      </c>
      <c r="N117" s="5" t="s">
        <v>60</v>
      </c>
      <c r="O117" s="5" t="s">
        <v>60</v>
      </c>
      <c r="P117" s="5" t="s">
        <v>61</v>
      </c>
      <c r="Q117" s="5" t="s">
        <v>62</v>
      </c>
      <c r="R117" s="5" t="s">
        <v>63</v>
      </c>
      <c r="S117" s="5" t="s">
        <v>64</v>
      </c>
      <c r="T117" s="5" t="s">
        <v>65</v>
      </c>
      <c r="U117" s="5" t="s">
        <v>66</v>
      </c>
      <c r="V117" s="5" t="s">
        <v>363</v>
      </c>
      <c r="W117" s="5" t="s">
        <v>364</v>
      </c>
      <c r="X117" s="5" t="s">
        <v>207</v>
      </c>
      <c r="Y117" s="5" t="s">
        <v>365</v>
      </c>
      <c r="Z117" s="5" t="s">
        <v>71</v>
      </c>
      <c r="AA117" s="5" t="s">
        <v>366</v>
      </c>
      <c r="AB117" s="5" t="s">
        <v>367</v>
      </c>
      <c r="AC117" s="5" t="s">
        <v>368</v>
      </c>
      <c r="AD117" s="5" t="s">
        <v>75</v>
      </c>
      <c r="AE117" s="5" t="s">
        <v>369</v>
      </c>
      <c r="AF117" s="6">
        <v>35226</v>
      </c>
      <c r="AG117" s="7">
        <v>1</v>
      </c>
      <c r="AH117" s="6">
        <v>35226</v>
      </c>
      <c r="AI117" s="5" t="s">
        <v>590</v>
      </c>
      <c r="AJ117" s="10">
        <v>45978</v>
      </c>
      <c r="AK117" s="5" t="s">
        <v>589</v>
      </c>
      <c r="AL117" s="5" t="s">
        <v>79</v>
      </c>
      <c r="AM117" s="5">
        <v>1619409</v>
      </c>
      <c r="AN117" s="5" t="s">
        <v>80</v>
      </c>
      <c r="AO117" s="5">
        <v>1094010</v>
      </c>
      <c r="AP117" s="5" t="s">
        <v>81</v>
      </c>
      <c r="AQ117" s="5" t="s">
        <v>64</v>
      </c>
      <c r="AR117" s="5" t="s">
        <v>207</v>
      </c>
      <c r="AS117" s="5"/>
      <c r="AT117" s="5"/>
      <c r="AU117" s="5"/>
      <c r="AV117" s="5"/>
      <c r="AW117" s="8"/>
      <c r="AX117" t="s">
        <v>1135</v>
      </c>
      <c r="AY117" t="s">
        <v>2152</v>
      </c>
    </row>
    <row r="118" spans="1:51" x14ac:dyDescent="0.35">
      <c r="A118" s="4" t="s">
        <v>441</v>
      </c>
      <c r="B118" s="5" t="s">
        <v>441</v>
      </c>
      <c r="C118" s="5" t="s">
        <v>455</v>
      </c>
      <c r="D118" s="5" t="s">
        <v>50</v>
      </c>
      <c r="E118" s="5" t="s">
        <v>51</v>
      </c>
      <c r="F118" s="5" t="s">
        <v>558</v>
      </c>
      <c r="G118" s="5" t="s">
        <v>53</v>
      </c>
      <c r="H118" s="5" t="s">
        <v>54</v>
      </c>
      <c r="I118" s="5" t="s">
        <v>591</v>
      </c>
      <c r="J118" s="5" t="s">
        <v>56</v>
      </c>
      <c r="K118" s="5" t="s">
        <v>57</v>
      </c>
      <c r="L118" s="5" t="s">
        <v>58</v>
      </c>
      <c r="M118" s="5" t="s">
        <v>59</v>
      </c>
      <c r="N118" s="5" t="s">
        <v>60</v>
      </c>
      <c r="O118" s="5" t="s">
        <v>60</v>
      </c>
      <c r="P118" s="5" t="s">
        <v>61</v>
      </c>
      <c r="Q118" s="5" t="s">
        <v>62</v>
      </c>
      <c r="R118" s="5" t="s">
        <v>63</v>
      </c>
      <c r="S118" s="5" t="s">
        <v>64</v>
      </c>
      <c r="T118" s="5" t="s">
        <v>65</v>
      </c>
      <c r="U118" s="5" t="s">
        <v>66</v>
      </c>
      <c r="V118" s="5" t="s">
        <v>166</v>
      </c>
      <c r="W118" s="5" t="s">
        <v>279</v>
      </c>
      <c r="X118" s="5" t="s">
        <v>168</v>
      </c>
      <c r="Y118" s="5" t="s">
        <v>169</v>
      </c>
      <c r="Z118" s="5" t="s">
        <v>71</v>
      </c>
      <c r="AA118" s="5" t="s">
        <v>87</v>
      </c>
      <c r="AB118" s="5" t="s">
        <v>104</v>
      </c>
      <c r="AC118" s="5" t="s">
        <v>105</v>
      </c>
      <c r="AD118" s="5" t="s">
        <v>75</v>
      </c>
      <c r="AE118" s="5" t="s">
        <v>170</v>
      </c>
      <c r="AF118" s="6">
        <v>2920</v>
      </c>
      <c r="AG118" s="7">
        <v>1</v>
      </c>
      <c r="AH118" s="6">
        <v>2920</v>
      </c>
      <c r="AI118" s="5" t="s">
        <v>280</v>
      </c>
      <c r="AJ118" s="10">
        <v>45978</v>
      </c>
      <c r="AK118" s="5" t="s">
        <v>592</v>
      </c>
      <c r="AL118" s="5" t="s">
        <v>79</v>
      </c>
      <c r="AM118" s="5">
        <v>1619409</v>
      </c>
      <c r="AN118" s="5" t="s">
        <v>80</v>
      </c>
      <c r="AO118" s="5">
        <v>1094010</v>
      </c>
      <c r="AP118" s="5" t="s">
        <v>81</v>
      </c>
      <c r="AQ118" s="5" t="s">
        <v>64</v>
      </c>
      <c r="AR118" s="5" t="s">
        <v>168</v>
      </c>
      <c r="AS118" s="5"/>
      <c r="AT118" s="5"/>
      <c r="AU118" s="5"/>
      <c r="AV118" s="5"/>
      <c r="AW118" s="8"/>
      <c r="AX118" t="s">
        <v>1135</v>
      </c>
      <c r="AY118" t="s">
        <v>2152</v>
      </c>
    </row>
    <row r="119" spans="1:51" x14ac:dyDescent="0.35">
      <c r="A119" s="4" t="s">
        <v>441</v>
      </c>
      <c r="B119" s="5" t="s">
        <v>441</v>
      </c>
      <c r="C119" s="5" t="s">
        <v>455</v>
      </c>
      <c r="D119" s="5" t="s">
        <v>50</v>
      </c>
      <c r="E119" s="5" t="s">
        <v>51</v>
      </c>
      <c r="F119" s="5" t="s">
        <v>558</v>
      </c>
      <c r="G119" s="5" t="s">
        <v>53</v>
      </c>
      <c r="H119" s="5" t="s">
        <v>54</v>
      </c>
      <c r="I119" s="5" t="s">
        <v>591</v>
      </c>
      <c r="J119" s="5" t="s">
        <v>56</v>
      </c>
      <c r="K119" s="5" t="s">
        <v>57</v>
      </c>
      <c r="L119" s="5" t="s">
        <v>58</v>
      </c>
      <c r="M119" s="5" t="s">
        <v>59</v>
      </c>
      <c r="N119" s="5" t="s">
        <v>60</v>
      </c>
      <c r="O119" s="5" t="s">
        <v>60</v>
      </c>
      <c r="P119" s="5" t="s">
        <v>61</v>
      </c>
      <c r="Q119" s="5" t="s">
        <v>62</v>
      </c>
      <c r="R119" s="5" t="s">
        <v>63</v>
      </c>
      <c r="S119" s="5" t="s">
        <v>64</v>
      </c>
      <c r="T119" s="5" t="s">
        <v>65</v>
      </c>
      <c r="U119" s="5" t="s">
        <v>66</v>
      </c>
      <c r="V119" s="5" t="s">
        <v>432</v>
      </c>
      <c r="W119" s="5" t="s">
        <v>593</v>
      </c>
      <c r="X119" s="5" t="s">
        <v>428</v>
      </c>
      <c r="Y119" s="5" t="s">
        <v>435</v>
      </c>
      <c r="Z119" s="5" t="s">
        <v>71</v>
      </c>
      <c r="AA119" s="5" t="s">
        <v>72</v>
      </c>
      <c r="AB119" s="5" t="s">
        <v>73</v>
      </c>
      <c r="AC119" s="5" t="s">
        <v>74</v>
      </c>
      <c r="AD119" s="5" t="s">
        <v>75</v>
      </c>
      <c r="AE119" s="5" t="s">
        <v>300</v>
      </c>
      <c r="AF119" s="6">
        <v>35203.86</v>
      </c>
      <c r="AG119" s="7">
        <v>1</v>
      </c>
      <c r="AH119" s="6">
        <v>35203.86</v>
      </c>
      <c r="AI119" s="5" t="s">
        <v>321</v>
      </c>
      <c r="AJ119" s="10">
        <v>45978</v>
      </c>
      <c r="AK119" s="5" t="s">
        <v>592</v>
      </c>
      <c r="AL119" s="5" t="s">
        <v>79</v>
      </c>
      <c r="AM119" s="5">
        <v>1619409</v>
      </c>
      <c r="AN119" s="5" t="s">
        <v>80</v>
      </c>
      <c r="AO119" s="5">
        <v>1094010</v>
      </c>
      <c r="AP119" s="5" t="s">
        <v>81</v>
      </c>
      <c r="AQ119" s="5" t="s">
        <v>64</v>
      </c>
      <c r="AR119" s="5" t="s">
        <v>428</v>
      </c>
      <c r="AS119" s="5"/>
      <c r="AT119" s="5"/>
      <c r="AU119" s="5"/>
      <c r="AV119" s="5"/>
      <c r="AW119" s="8"/>
      <c r="AX119" t="s">
        <v>1135</v>
      </c>
      <c r="AY119" t="s">
        <v>2152</v>
      </c>
    </row>
    <row r="120" spans="1:51" x14ac:dyDescent="0.35">
      <c r="A120" s="4" t="s">
        <v>441</v>
      </c>
      <c r="B120" s="5" t="s">
        <v>441</v>
      </c>
      <c r="C120" s="5" t="s">
        <v>455</v>
      </c>
      <c r="D120" s="5" t="s">
        <v>50</v>
      </c>
      <c r="E120" s="5" t="s">
        <v>51</v>
      </c>
      <c r="F120" s="5" t="s">
        <v>558</v>
      </c>
      <c r="G120" s="5" t="s">
        <v>53</v>
      </c>
      <c r="H120" s="5" t="s">
        <v>54</v>
      </c>
      <c r="I120" s="5" t="s">
        <v>591</v>
      </c>
      <c r="J120" s="5" t="s">
        <v>56</v>
      </c>
      <c r="K120" s="5" t="s">
        <v>57</v>
      </c>
      <c r="L120" s="5" t="s">
        <v>58</v>
      </c>
      <c r="M120" s="5" t="s">
        <v>59</v>
      </c>
      <c r="N120" s="5" t="s">
        <v>60</v>
      </c>
      <c r="O120" s="5" t="s">
        <v>60</v>
      </c>
      <c r="P120" s="5" t="s">
        <v>61</v>
      </c>
      <c r="Q120" s="5" t="s">
        <v>62</v>
      </c>
      <c r="R120" s="5" t="s">
        <v>63</v>
      </c>
      <c r="S120" s="5" t="s">
        <v>64</v>
      </c>
      <c r="T120" s="5" t="s">
        <v>65</v>
      </c>
      <c r="U120" s="5" t="s">
        <v>66</v>
      </c>
      <c r="V120" s="5" t="s">
        <v>297</v>
      </c>
      <c r="W120" s="5" t="s">
        <v>594</v>
      </c>
      <c r="X120" s="5" t="s">
        <v>428</v>
      </c>
      <c r="Y120" s="5" t="s">
        <v>299</v>
      </c>
      <c r="Z120" s="5" t="s">
        <v>71</v>
      </c>
      <c r="AA120" s="5" t="s">
        <v>72</v>
      </c>
      <c r="AB120" s="5" t="s">
        <v>73</v>
      </c>
      <c r="AC120" s="5" t="s">
        <v>74</v>
      </c>
      <c r="AD120" s="5" t="s">
        <v>75</v>
      </c>
      <c r="AE120" s="5" t="s">
        <v>300</v>
      </c>
      <c r="AF120" s="6">
        <v>35203.86</v>
      </c>
      <c r="AG120" s="7">
        <v>1</v>
      </c>
      <c r="AH120" s="6">
        <v>35203.86</v>
      </c>
      <c r="AI120" s="5" t="s">
        <v>321</v>
      </c>
      <c r="AJ120" s="10">
        <v>45978</v>
      </c>
      <c r="AK120" s="5" t="s">
        <v>592</v>
      </c>
      <c r="AL120" s="5" t="s">
        <v>79</v>
      </c>
      <c r="AM120" s="5">
        <v>1619409</v>
      </c>
      <c r="AN120" s="5" t="s">
        <v>80</v>
      </c>
      <c r="AO120" s="5">
        <v>1094010</v>
      </c>
      <c r="AP120" s="5" t="s">
        <v>81</v>
      </c>
      <c r="AQ120" s="5" t="s">
        <v>64</v>
      </c>
      <c r="AR120" s="5" t="s">
        <v>428</v>
      </c>
      <c r="AS120" s="5"/>
      <c r="AT120" s="5"/>
      <c r="AU120" s="5"/>
      <c r="AV120" s="5"/>
      <c r="AW120" s="8"/>
      <c r="AX120" t="s">
        <v>1135</v>
      </c>
      <c r="AY120" t="s">
        <v>2152</v>
      </c>
    </row>
    <row r="121" spans="1:51" x14ac:dyDescent="0.35">
      <c r="A121" s="4" t="s">
        <v>441</v>
      </c>
      <c r="B121" s="5" t="s">
        <v>441</v>
      </c>
      <c r="C121" s="5" t="s">
        <v>455</v>
      </c>
      <c r="D121" s="5" t="s">
        <v>50</v>
      </c>
      <c r="E121" s="5" t="s">
        <v>51</v>
      </c>
      <c r="F121" s="5" t="s">
        <v>558</v>
      </c>
      <c r="G121" s="5" t="s">
        <v>53</v>
      </c>
      <c r="H121" s="5" t="s">
        <v>54</v>
      </c>
      <c r="I121" s="5" t="s">
        <v>591</v>
      </c>
      <c r="J121" s="5" t="s">
        <v>56</v>
      </c>
      <c r="K121" s="5" t="s">
        <v>57</v>
      </c>
      <c r="L121" s="5" t="s">
        <v>58</v>
      </c>
      <c r="M121" s="5" t="s">
        <v>59</v>
      </c>
      <c r="N121" s="5" t="s">
        <v>60</v>
      </c>
      <c r="O121" s="5" t="s">
        <v>60</v>
      </c>
      <c r="P121" s="5" t="s">
        <v>61</v>
      </c>
      <c r="Q121" s="5" t="s">
        <v>62</v>
      </c>
      <c r="R121" s="5" t="s">
        <v>63</v>
      </c>
      <c r="S121" s="5" t="s">
        <v>64</v>
      </c>
      <c r="T121" s="5" t="s">
        <v>65</v>
      </c>
      <c r="U121" s="5" t="s">
        <v>66</v>
      </c>
      <c r="V121" s="5" t="s">
        <v>595</v>
      </c>
      <c r="W121" s="5" t="s">
        <v>596</v>
      </c>
      <c r="X121" s="5" t="s">
        <v>356</v>
      </c>
      <c r="Y121" s="5" t="s">
        <v>597</v>
      </c>
      <c r="Z121" s="5" t="s">
        <v>71</v>
      </c>
      <c r="AA121" s="5" t="s">
        <v>72</v>
      </c>
      <c r="AB121" s="5" t="s">
        <v>73</v>
      </c>
      <c r="AC121" s="5" t="s">
        <v>74</v>
      </c>
      <c r="AD121" s="5" t="s">
        <v>75</v>
      </c>
      <c r="AE121" s="5" t="s">
        <v>76</v>
      </c>
      <c r="AF121" s="6">
        <v>35203.86</v>
      </c>
      <c r="AG121" s="7">
        <v>1</v>
      </c>
      <c r="AH121" s="6">
        <v>35203.86</v>
      </c>
      <c r="AI121" s="5" t="s">
        <v>598</v>
      </c>
      <c r="AJ121" s="10">
        <v>45978</v>
      </c>
      <c r="AK121" s="5" t="s">
        <v>592</v>
      </c>
      <c r="AL121" s="5" t="s">
        <v>79</v>
      </c>
      <c r="AM121" s="5">
        <v>1619409</v>
      </c>
      <c r="AN121" s="5" t="s">
        <v>80</v>
      </c>
      <c r="AO121" s="5">
        <v>1094010</v>
      </c>
      <c r="AP121" s="5" t="s">
        <v>81</v>
      </c>
      <c r="AQ121" s="5" t="s">
        <v>64</v>
      </c>
      <c r="AR121" s="5" t="s">
        <v>356</v>
      </c>
      <c r="AS121" s="5"/>
      <c r="AT121" s="5"/>
      <c r="AU121" s="5"/>
      <c r="AV121" s="5"/>
      <c r="AW121" s="8"/>
      <c r="AX121" t="s">
        <v>1135</v>
      </c>
      <c r="AY121" t="s">
        <v>2152</v>
      </c>
    </row>
    <row r="122" spans="1:51" x14ac:dyDescent="0.35">
      <c r="A122" s="4" t="s">
        <v>441</v>
      </c>
      <c r="B122" s="5" t="s">
        <v>441</v>
      </c>
      <c r="C122" s="5" t="s">
        <v>455</v>
      </c>
      <c r="D122" s="5" t="s">
        <v>50</v>
      </c>
      <c r="E122" s="5" t="s">
        <v>51</v>
      </c>
      <c r="F122" s="5" t="s">
        <v>558</v>
      </c>
      <c r="G122" s="5" t="s">
        <v>53</v>
      </c>
      <c r="H122" s="5" t="s">
        <v>54</v>
      </c>
      <c r="I122" s="5" t="s">
        <v>599</v>
      </c>
      <c r="J122" s="5" t="s">
        <v>56</v>
      </c>
      <c r="K122" s="5" t="s">
        <v>57</v>
      </c>
      <c r="L122" s="5" t="s">
        <v>58</v>
      </c>
      <c r="M122" s="5" t="s">
        <v>59</v>
      </c>
      <c r="N122" s="5" t="s">
        <v>60</v>
      </c>
      <c r="O122" s="5" t="s">
        <v>60</v>
      </c>
      <c r="P122" s="5" t="s">
        <v>61</v>
      </c>
      <c r="Q122" s="5" t="s">
        <v>62</v>
      </c>
      <c r="R122" s="5" t="s">
        <v>63</v>
      </c>
      <c r="S122" s="5" t="s">
        <v>64</v>
      </c>
      <c r="T122" s="5" t="s">
        <v>65</v>
      </c>
      <c r="U122" s="5" t="s">
        <v>66</v>
      </c>
      <c r="V122" s="5" t="s">
        <v>166</v>
      </c>
      <c r="W122" s="5" t="s">
        <v>279</v>
      </c>
      <c r="X122" s="5" t="s">
        <v>168</v>
      </c>
      <c r="Y122" s="5" t="s">
        <v>169</v>
      </c>
      <c r="Z122" s="5" t="s">
        <v>71</v>
      </c>
      <c r="AA122" s="5" t="s">
        <v>87</v>
      </c>
      <c r="AB122" s="5" t="s">
        <v>104</v>
      </c>
      <c r="AC122" s="5" t="s">
        <v>105</v>
      </c>
      <c r="AD122" s="5" t="s">
        <v>75</v>
      </c>
      <c r="AE122" s="5" t="s">
        <v>170</v>
      </c>
      <c r="AF122" s="6">
        <v>2920</v>
      </c>
      <c r="AG122" s="7">
        <v>1</v>
      </c>
      <c r="AH122" s="6">
        <v>2920</v>
      </c>
      <c r="AI122" s="5" t="s">
        <v>280</v>
      </c>
      <c r="AJ122" s="10">
        <v>45978</v>
      </c>
      <c r="AK122" s="5" t="s">
        <v>600</v>
      </c>
      <c r="AL122" s="5" t="s">
        <v>79</v>
      </c>
      <c r="AM122" s="5">
        <v>1619409</v>
      </c>
      <c r="AN122" s="5" t="s">
        <v>80</v>
      </c>
      <c r="AO122" s="5">
        <v>1094010</v>
      </c>
      <c r="AP122" s="5" t="s">
        <v>81</v>
      </c>
      <c r="AQ122" s="5" t="s">
        <v>64</v>
      </c>
      <c r="AR122" s="5" t="s">
        <v>168</v>
      </c>
      <c r="AS122" s="5"/>
      <c r="AT122" s="5"/>
      <c r="AU122" s="5"/>
      <c r="AV122" s="5"/>
      <c r="AW122" s="8"/>
      <c r="AX122" t="s">
        <v>1135</v>
      </c>
      <c r="AY122" t="s">
        <v>2152</v>
      </c>
    </row>
    <row r="123" spans="1:51" x14ac:dyDescent="0.35">
      <c r="A123" s="4" t="s">
        <v>441</v>
      </c>
      <c r="B123" s="5" t="s">
        <v>441</v>
      </c>
      <c r="C123" s="5" t="s">
        <v>455</v>
      </c>
      <c r="D123" s="5" t="s">
        <v>50</v>
      </c>
      <c r="E123" s="5" t="s">
        <v>51</v>
      </c>
      <c r="F123" s="5" t="s">
        <v>558</v>
      </c>
      <c r="G123" s="5" t="s">
        <v>53</v>
      </c>
      <c r="H123" s="5" t="s">
        <v>54</v>
      </c>
      <c r="I123" s="5" t="s">
        <v>599</v>
      </c>
      <c r="J123" s="5" t="s">
        <v>56</v>
      </c>
      <c r="K123" s="5" t="s">
        <v>57</v>
      </c>
      <c r="L123" s="5" t="s">
        <v>58</v>
      </c>
      <c r="M123" s="5" t="s">
        <v>59</v>
      </c>
      <c r="N123" s="5" t="s">
        <v>60</v>
      </c>
      <c r="O123" s="5" t="s">
        <v>60</v>
      </c>
      <c r="P123" s="5" t="s">
        <v>61</v>
      </c>
      <c r="Q123" s="5" t="s">
        <v>62</v>
      </c>
      <c r="R123" s="5" t="s">
        <v>63</v>
      </c>
      <c r="S123" s="5" t="s">
        <v>64</v>
      </c>
      <c r="T123" s="5" t="s">
        <v>65</v>
      </c>
      <c r="U123" s="5" t="s">
        <v>66</v>
      </c>
      <c r="V123" s="5" t="s">
        <v>601</v>
      </c>
      <c r="W123" s="5" t="s">
        <v>602</v>
      </c>
      <c r="X123" s="5" t="s">
        <v>207</v>
      </c>
      <c r="Y123" s="5" t="s">
        <v>603</v>
      </c>
      <c r="Z123" s="5" t="s">
        <v>71</v>
      </c>
      <c r="AA123" s="5" t="s">
        <v>87</v>
      </c>
      <c r="AB123" s="5" t="s">
        <v>88</v>
      </c>
      <c r="AC123" s="5" t="s">
        <v>89</v>
      </c>
      <c r="AD123" s="5" t="s">
        <v>75</v>
      </c>
      <c r="AE123" s="5" t="s">
        <v>243</v>
      </c>
      <c r="AF123" s="6">
        <v>4326</v>
      </c>
      <c r="AG123" s="7">
        <v>1</v>
      </c>
      <c r="AH123" s="6">
        <v>4326</v>
      </c>
      <c r="AI123" s="5" t="s">
        <v>118</v>
      </c>
      <c r="AJ123" s="10">
        <v>45978</v>
      </c>
      <c r="AK123" s="5" t="s">
        <v>600</v>
      </c>
      <c r="AL123" s="5" t="s">
        <v>79</v>
      </c>
      <c r="AM123" s="5">
        <v>1619409</v>
      </c>
      <c r="AN123" s="5" t="s">
        <v>80</v>
      </c>
      <c r="AO123" s="5">
        <v>1094010</v>
      </c>
      <c r="AP123" s="5" t="s">
        <v>81</v>
      </c>
      <c r="AQ123" s="5" t="s">
        <v>64</v>
      </c>
      <c r="AR123" s="5" t="s">
        <v>207</v>
      </c>
      <c r="AS123" s="5"/>
      <c r="AT123" s="5"/>
      <c r="AU123" s="5"/>
      <c r="AV123" s="5"/>
      <c r="AW123" s="8"/>
      <c r="AX123" t="s">
        <v>1135</v>
      </c>
      <c r="AY123" t="s">
        <v>2152</v>
      </c>
    </row>
    <row r="124" spans="1:51" x14ac:dyDescent="0.35">
      <c r="A124" s="4" t="s">
        <v>441</v>
      </c>
      <c r="B124" s="5" t="s">
        <v>441</v>
      </c>
      <c r="C124" s="5" t="s">
        <v>455</v>
      </c>
      <c r="D124" s="5" t="s">
        <v>50</v>
      </c>
      <c r="E124" s="5" t="s">
        <v>51</v>
      </c>
      <c r="F124" s="5" t="s">
        <v>558</v>
      </c>
      <c r="G124" s="5" t="s">
        <v>53</v>
      </c>
      <c r="H124" s="5" t="s">
        <v>54</v>
      </c>
      <c r="I124" s="5" t="s">
        <v>599</v>
      </c>
      <c r="J124" s="5" t="s">
        <v>56</v>
      </c>
      <c r="K124" s="5" t="s">
        <v>57</v>
      </c>
      <c r="L124" s="5" t="s">
        <v>58</v>
      </c>
      <c r="M124" s="5" t="s">
        <v>59</v>
      </c>
      <c r="N124" s="5" t="s">
        <v>60</v>
      </c>
      <c r="O124" s="5" t="s">
        <v>60</v>
      </c>
      <c r="P124" s="5" t="s">
        <v>61</v>
      </c>
      <c r="Q124" s="5" t="s">
        <v>62</v>
      </c>
      <c r="R124" s="5" t="s">
        <v>63</v>
      </c>
      <c r="S124" s="5" t="s">
        <v>64</v>
      </c>
      <c r="T124" s="5" t="s">
        <v>65</v>
      </c>
      <c r="U124" s="5" t="s">
        <v>66</v>
      </c>
      <c r="V124" s="5" t="s">
        <v>255</v>
      </c>
      <c r="W124" s="5" t="s">
        <v>604</v>
      </c>
      <c r="X124" s="5" t="s">
        <v>434</v>
      </c>
      <c r="Y124" s="5" t="s">
        <v>257</v>
      </c>
      <c r="Z124" s="5" t="s">
        <v>71</v>
      </c>
      <c r="AA124" s="5" t="s">
        <v>72</v>
      </c>
      <c r="AB124" s="5" t="s">
        <v>73</v>
      </c>
      <c r="AC124" s="5" t="s">
        <v>74</v>
      </c>
      <c r="AD124" s="5" t="s">
        <v>75</v>
      </c>
      <c r="AE124" s="5" t="s">
        <v>258</v>
      </c>
      <c r="AF124" s="6">
        <v>35818.480000000003</v>
      </c>
      <c r="AG124" s="7">
        <v>1</v>
      </c>
      <c r="AH124" s="6">
        <v>35818.480000000003</v>
      </c>
      <c r="AI124" s="5" t="s">
        <v>379</v>
      </c>
      <c r="AJ124" s="10">
        <v>45978</v>
      </c>
      <c r="AK124" s="5" t="s">
        <v>600</v>
      </c>
      <c r="AL124" s="5" t="s">
        <v>79</v>
      </c>
      <c r="AM124" s="5">
        <v>1619409</v>
      </c>
      <c r="AN124" s="5" t="s">
        <v>80</v>
      </c>
      <c r="AO124" s="5">
        <v>1094010</v>
      </c>
      <c r="AP124" s="5" t="s">
        <v>81</v>
      </c>
      <c r="AQ124" s="5" t="s">
        <v>64</v>
      </c>
      <c r="AR124" s="5" t="s">
        <v>434</v>
      </c>
      <c r="AS124" s="5"/>
      <c r="AT124" s="5"/>
      <c r="AU124" s="5"/>
      <c r="AV124" s="5"/>
      <c r="AW124" s="8"/>
      <c r="AX124" t="s">
        <v>1135</v>
      </c>
      <c r="AY124" t="s">
        <v>2152</v>
      </c>
    </row>
    <row r="125" spans="1:51" x14ac:dyDescent="0.35">
      <c r="A125" s="4" t="s">
        <v>441</v>
      </c>
      <c r="B125" s="5" t="s">
        <v>441</v>
      </c>
      <c r="C125" s="5" t="s">
        <v>455</v>
      </c>
      <c r="D125" s="5" t="s">
        <v>50</v>
      </c>
      <c r="E125" s="5" t="s">
        <v>51</v>
      </c>
      <c r="F125" s="5" t="s">
        <v>558</v>
      </c>
      <c r="G125" s="5" t="s">
        <v>53</v>
      </c>
      <c r="H125" s="5" t="s">
        <v>54</v>
      </c>
      <c r="I125" s="5" t="s">
        <v>599</v>
      </c>
      <c r="J125" s="5" t="s">
        <v>56</v>
      </c>
      <c r="K125" s="5" t="s">
        <v>57</v>
      </c>
      <c r="L125" s="5" t="s">
        <v>58</v>
      </c>
      <c r="M125" s="5" t="s">
        <v>59</v>
      </c>
      <c r="N125" s="5" t="s">
        <v>60</v>
      </c>
      <c r="O125" s="5" t="s">
        <v>60</v>
      </c>
      <c r="P125" s="5" t="s">
        <v>61</v>
      </c>
      <c r="Q125" s="5" t="s">
        <v>62</v>
      </c>
      <c r="R125" s="5" t="s">
        <v>63</v>
      </c>
      <c r="S125" s="5" t="s">
        <v>64</v>
      </c>
      <c r="T125" s="5" t="s">
        <v>65</v>
      </c>
      <c r="U125" s="5" t="s">
        <v>66</v>
      </c>
      <c r="V125" s="5" t="s">
        <v>605</v>
      </c>
      <c r="W125" s="5" t="s">
        <v>606</v>
      </c>
      <c r="X125" s="5" t="s">
        <v>138</v>
      </c>
      <c r="Y125" s="5" t="s">
        <v>607</v>
      </c>
      <c r="Z125" s="5" t="s">
        <v>71</v>
      </c>
      <c r="AA125" s="5" t="s">
        <v>72</v>
      </c>
      <c r="AB125" s="5" t="s">
        <v>73</v>
      </c>
      <c r="AC125" s="5" t="s">
        <v>74</v>
      </c>
      <c r="AD125" s="5" t="s">
        <v>75</v>
      </c>
      <c r="AE125" s="5" t="s">
        <v>300</v>
      </c>
      <c r="AF125" s="6">
        <v>35818.480000000003</v>
      </c>
      <c r="AG125" s="7">
        <v>1</v>
      </c>
      <c r="AH125" s="6">
        <v>35818.480000000003</v>
      </c>
      <c r="AI125" s="5" t="s">
        <v>608</v>
      </c>
      <c r="AJ125" s="10">
        <v>45978</v>
      </c>
      <c r="AK125" s="5" t="s">
        <v>600</v>
      </c>
      <c r="AL125" s="5" t="s">
        <v>79</v>
      </c>
      <c r="AM125" s="5">
        <v>1619409</v>
      </c>
      <c r="AN125" s="5" t="s">
        <v>80</v>
      </c>
      <c r="AO125" s="5">
        <v>1094010</v>
      </c>
      <c r="AP125" s="5" t="s">
        <v>81</v>
      </c>
      <c r="AQ125" s="5" t="s">
        <v>64</v>
      </c>
      <c r="AR125" s="5" t="s">
        <v>138</v>
      </c>
      <c r="AS125" s="5"/>
      <c r="AT125" s="5"/>
      <c r="AU125" s="5"/>
      <c r="AV125" s="5"/>
      <c r="AW125" s="8"/>
      <c r="AX125" t="s">
        <v>1135</v>
      </c>
      <c r="AY125" t="s">
        <v>2152</v>
      </c>
    </row>
    <row r="126" spans="1:51" x14ac:dyDescent="0.35">
      <c r="A126" s="4" t="s">
        <v>441</v>
      </c>
      <c r="B126" s="5" t="s">
        <v>441</v>
      </c>
      <c r="C126" s="5" t="s">
        <v>455</v>
      </c>
      <c r="D126" s="5" t="s">
        <v>50</v>
      </c>
      <c r="E126" s="5" t="s">
        <v>51</v>
      </c>
      <c r="F126" s="5" t="s">
        <v>558</v>
      </c>
      <c r="G126" s="5" t="s">
        <v>53</v>
      </c>
      <c r="H126" s="5" t="s">
        <v>54</v>
      </c>
      <c r="I126" s="5" t="s">
        <v>599</v>
      </c>
      <c r="J126" s="5" t="s">
        <v>56</v>
      </c>
      <c r="K126" s="5" t="s">
        <v>57</v>
      </c>
      <c r="L126" s="5" t="s">
        <v>58</v>
      </c>
      <c r="M126" s="5" t="s">
        <v>59</v>
      </c>
      <c r="N126" s="5" t="s">
        <v>60</v>
      </c>
      <c r="O126" s="5" t="s">
        <v>60</v>
      </c>
      <c r="P126" s="5" t="s">
        <v>61</v>
      </c>
      <c r="Q126" s="5" t="s">
        <v>62</v>
      </c>
      <c r="R126" s="5" t="s">
        <v>63</v>
      </c>
      <c r="S126" s="5" t="s">
        <v>64</v>
      </c>
      <c r="T126" s="5" t="s">
        <v>65</v>
      </c>
      <c r="U126" s="5" t="s">
        <v>66</v>
      </c>
      <c r="V126" s="5" t="s">
        <v>301</v>
      </c>
      <c r="W126" s="5" t="s">
        <v>609</v>
      </c>
      <c r="X126" s="5" t="s">
        <v>586</v>
      </c>
      <c r="Y126" s="5" t="s">
        <v>303</v>
      </c>
      <c r="Z126" s="5" t="s">
        <v>71</v>
      </c>
      <c r="AA126" s="5" t="s">
        <v>72</v>
      </c>
      <c r="AB126" s="5" t="s">
        <v>73</v>
      </c>
      <c r="AC126" s="5" t="s">
        <v>74</v>
      </c>
      <c r="AD126" s="5" t="s">
        <v>75</v>
      </c>
      <c r="AE126" s="5" t="s">
        <v>223</v>
      </c>
      <c r="AF126" s="6">
        <v>35203.86</v>
      </c>
      <c r="AG126" s="7">
        <v>1</v>
      </c>
      <c r="AH126" s="6">
        <v>35203.86</v>
      </c>
      <c r="AI126" s="5" t="s">
        <v>610</v>
      </c>
      <c r="AJ126" s="10">
        <v>45978</v>
      </c>
      <c r="AK126" s="5" t="s">
        <v>600</v>
      </c>
      <c r="AL126" s="5" t="s">
        <v>79</v>
      </c>
      <c r="AM126" s="5">
        <v>1619409</v>
      </c>
      <c r="AN126" s="5" t="s">
        <v>80</v>
      </c>
      <c r="AO126" s="5">
        <v>1094010</v>
      </c>
      <c r="AP126" s="5" t="s">
        <v>81</v>
      </c>
      <c r="AQ126" s="5" t="s">
        <v>64</v>
      </c>
      <c r="AR126" s="5" t="s">
        <v>586</v>
      </c>
      <c r="AS126" s="5"/>
      <c r="AT126" s="5"/>
      <c r="AU126" s="5"/>
      <c r="AV126" s="5"/>
      <c r="AW126" s="8"/>
      <c r="AX126" t="s">
        <v>1135</v>
      </c>
      <c r="AY126" t="s">
        <v>2152</v>
      </c>
    </row>
    <row r="127" spans="1:51" x14ac:dyDescent="0.35">
      <c r="A127" s="4" t="s">
        <v>441</v>
      </c>
      <c r="B127" s="5" t="s">
        <v>441</v>
      </c>
      <c r="C127" s="5" t="s">
        <v>611</v>
      </c>
      <c r="D127" s="5" t="s">
        <v>50</v>
      </c>
      <c r="E127" s="5" t="s">
        <v>51</v>
      </c>
      <c r="F127" s="5" t="s">
        <v>558</v>
      </c>
      <c r="G127" s="5" t="s">
        <v>53</v>
      </c>
      <c r="H127" s="5" t="s">
        <v>54</v>
      </c>
      <c r="I127" s="5" t="s">
        <v>612</v>
      </c>
      <c r="J127" s="5" t="s">
        <v>56</v>
      </c>
      <c r="K127" s="5" t="s">
        <v>57</v>
      </c>
      <c r="L127" s="5" t="s">
        <v>58</v>
      </c>
      <c r="M127" s="5" t="s">
        <v>59</v>
      </c>
      <c r="N127" s="5" t="s">
        <v>60</v>
      </c>
      <c r="O127" s="5" t="s">
        <v>60</v>
      </c>
      <c r="P127" s="5" t="s">
        <v>61</v>
      </c>
      <c r="Q127" s="5" t="s">
        <v>62</v>
      </c>
      <c r="R127" s="5" t="s">
        <v>63</v>
      </c>
      <c r="S127" s="5" t="s">
        <v>64</v>
      </c>
      <c r="T127" s="5" t="s">
        <v>65</v>
      </c>
      <c r="U127" s="5" t="s">
        <v>66</v>
      </c>
      <c r="V127" s="5" t="s">
        <v>516</v>
      </c>
      <c r="W127" s="5" t="s">
        <v>613</v>
      </c>
      <c r="X127" s="5" t="s">
        <v>350</v>
      </c>
      <c r="Y127" s="5" t="s">
        <v>519</v>
      </c>
      <c r="Z127" s="5" t="s">
        <v>71</v>
      </c>
      <c r="AA127" s="5" t="s">
        <v>87</v>
      </c>
      <c r="AB127" s="5" t="s">
        <v>104</v>
      </c>
      <c r="AC127" s="5" t="s">
        <v>105</v>
      </c>
      <c r="AD127" s="5" t="s">
        <v>75</v>
      </c>
      <c r="AE127" s="5" t="s">
        <v>263</v>
      </c>
      <c r="AF127" s="6">
        <v>2920</v>
      </c>
      <c r="AG127" s="7">
        <v>1</v>
      </c>
      <c r="AH127" s="6">
        <v>2920</v>
      </c>
      <c r="AI127" s="5" t="s">
        <v>416</v>
      </c>
      <c r="AJ127" s="10">
        <v>45979</v>
      </c>
      <c r="AK127" s="5" t="s">
        <v>614</v>
      </c>
      <c r="AL127" s="5" t="s">
        <v>79</v>
      </c>
      <c r="AM127" s="5">
        <v>1619409</v>
      </c>
      <c r="AN127" s="5" t="s">
        <v>80</v>
      </c>
      <c r="AO127" s="5">
        <v>1094010</v>
      </c>
      <c r="AP127" s="5" t="s">
        <v>81</v>
      </c>
      <c r="AQ127" s="5" t="s">
        <v>64</v>
      </c>
      <c r="AR127" s="5" t="s">
        <v>350</v>
      </c>
      <c r="AS127" s="5"/>
      <c r="AT127" s="5"/>
      <c r="AU127" s="5"/>
      <c r="AV127" s="5"/>
      <c r="AW127" s="8"/>
      <c r="AX127" t="s">
        <v>1135</v>
      </c>
      <c r="AY127" t="s">
        <v>2152</v>
      </c>
    </row>
    <row r="128" spans="1:51" x14ac:dyDescent="0.35">
      <c r="A128" s="4" t="s">
        <v>441</v>
      </c>
      <c r="B128" s="5" t="s">
        <v>441</v>
      </c>
      <c r="C128" s="5" t="s">
        <v>611</v>
      </c>
      <c r="D128" s="5" t="s">
        <v>50</v>
      </c>
      <c r="E128" s="5" t="s">
        <v>51</v>
      </c>
      <c r="F128" s="5" t="s">
        <v>558</v>
      </c>
      <c r="G128" s="5" t="s">
        <v>53</v>
      </c>
      <c r="H128" s="5" t="s">
        <v>54</v>
      </c>
      <c r="I128" s="5" t="s">
        <v>615</v>
      </c>
      <c r="J128" s="5" t="s">
        <v>56</v>
      </c>
      <c r="K128" s="5" t="s">
        <v>57</v>
      </c>
      <c r="L128" s="5" t="s">
        <v>58</v>
      </c>
      <c r="M128" s="5" t="s">
        <v>59</v>
      </c>
      <c r="N128" s="5" t="s">
        <v>60</v>
      </c>
      <c r="O128" s="5" t="s">
        <v>60</v>
      </c>
      <c r="P128" s="5" t="s">
        <v>61</v>
      </c>
      <c r="Q128" s="5" t="s">
        <v>62</v>
      </c>
      <c r="R128" s="5" t="s">
        <v>63</v>
      </c>
      <c r="S128" s="5" t="s">
        <v>64</v>
      </c>
      <c r="T128" s="5" t="s">
        <v>65</v>
      </c>
      <c r="U128" s="5" t="s">
        <v>66</v>
      </c>
      <c r="V128" s="5" t="s">
        <v>535</v>
      </c>
      <c r="W128" s="5" t="s">
        <v>536</v>
      </c>
      <c r="X128" s="5" t="s">
        <v>207</v>
      </c>
      <c r="Y128" s="5" t="s">
        <v>537</v>
      </c>
      <c r="Z128" s="5" t="s">
        <v>71</v>
      </c>
      <c r="AA128" s="5" t="s">
        <v>87</v>
      </c>
      <c r="AB128" s="5" t="s">
        <v>88</v>
      </c>
      <c r="AC128" s="5" t="s">
        <v>89</v>
      </c>
      <c r="AD128" s="5" t="s">
        <v>75</v>
      </c>
      <c r="AE128" s="5" t="s">
        <v>117</v>
      </c>
      <c r="AF128" s="6">
        <v>4326</v>
      </c>
      <c r="AG128" s="7">
        <v>1</v>
      </c>
      <c r="AH128" s="6">
        <v>4326</v>
      </c>
      <c r="AI128" s="5" t="s">
        <v>118</v>
      </c>
      <c r="AJ128" s="10">
        <v>45979</v>
      </c>
      <c r="AK128" s="5" t="s">
        <v>616</v>
      </c>
      <c r="AL128" s="5" t="s">
        <v>79</v>
      </c>
      <c r="AM128" s="5">
        <v>1619409</v>
      </c>
      <c r="AN128" s="5" t="s">
        <v>80</v>
      </c>
      <c r="AO128" s="5">
        <v>1094010</v>
      </c>
      <c r="AP128" s="5" t="s">
        <v>81</v>
      </c>
      <c r="AQ128" s="5" t="s">
        <v>64</v>
      </c>
      <c r="AR128" s="5" t="s">
        <v>207</v>
      </c>
      <c r="AS128" s="5"/>
      <c r="AT128" s="5"/>
      <c r="AU128" s="5"/>
      <c r="AV128" s="5"/>
      <c r="AW128" s="8"/>
      <c r="AX128" t="s">
        <v>1135</v>
      </c>
      <c r="AY128" t="s">
        <v>2152</v>
      </c>
    </row>
    <row r="129" spans="1:51" x14ac:dyDescent="0.35">
      <c r="A129" s="4" t="s">
        <v>441</v>
      </c>
      <c r="B129" s="5" t="s">
        <v>441</v>
      </c>
      <c r="C129" s="5" t="s">
        <v>611</v>
      </c>
      <c r="D129" s="5" t="s">
        <v>50</v>
      </c>
      <c r="E129" s="5" t="s">
        <v>51</v>
      </c>
      <c r="F129" s="5" t="s">
        <v>558</v>
      </c>
      <c r="G129" s="5" t="s">
        <v>53</v>
      </c>
      <c r="H129" s="5" t="s">
        <v>54</v>
      </c>
      <c r="I129" s="5" t="s">
        <v>617</v>
      </c>
      <c r="J129" s="5" t="s">
        <v>56</v>
      </c>
      <c r="K129" s="5" t="s">
        <v>57</v>
      </c>
      <c r="L129" s="5" t="s">
        <v>58</v>
      </c>
      <c r="M129" s="5" t="s">
        <v>59</v>
      </c>
      <c r="N129" s="5" t="s">
        <v>60</v>
      </c>
      <c r="O129" s="5" t="s">
        <v>60</v>
      </c>
      <c r="P129" s="5" t="s">
        <v>61</v>
      </c>
      <c r="Q129" s="5" t="s">
        <v>62</v>
      </c>
      <c r="R129" s="5" t="s">
        <v>63</v>
      </c>
      <c r="S129" s="5" t="s">
        <v>64</v>
      </c>
      <c r="T129" s="5" t="s">
        <v>65</v>
      </c>
      <c r="U129" s="5" t="s">
        <v>66</v>
      </c>
      <c r="V129" s="5" t="s">
        <v>260</v>
      </c>
      <c r="W129" s="5" t="s">
        <v>569</v>
      </c>
      <c r="X129" s="5" t="s">
        <v>450</v>
      </c>
      <c r="Y129" s="5" t="s">
        <v>262</v>
      </c>
      <c r="Z129" s="5" t="s">
        <v>71</v>
      </c>
      <c r="AA129" s="5" t="s">
        <v>87</v>
      </c>
      <c r="AB129" s="5" t="s">
        <v>104</v>
      </c>
      <c r="AC129" s="5" t="s">
        <v>105</v>
      </c>
      <c r="AD129" s="5" t="s">
        <v>75</v>
      </c>
      <c r="AE129" s="5" t="s">
        <v>263</v>
      </c>
      <c r="AF129" s="6">
        <v>2920</v>
      </c>
      <c r="AG129" s="7">
        <v>1</v>
      </c>
      <c r="AH129" s="6">
        <v>2920</v>
      </c>
      <c r="AI129" s="5" t="s">
        <v>280</v>
      </c>
      <c r="AJ129" s="10">
        <v>45979</v>
      </c>
      <c r="AK129" s="5" t="s">
        <v>618</v>
      </c>
      <c r="AL129" s="5" t="s">
        <v>79</v>
      </c>
      <c r="AM129" s="5">
        <v>1619409</v>
      </c>
      <c r="AN129" s="5" t="s">
        <v>80</v>
      </c>
      <c r="AO129" s="5">
        <v>1094010</v>
      </c>
      <c r="AP129" s="5" t="s">
        <v>81</v>
      </c>
      <c r="AQ129" s="5" t="s">
        <v>64</v>
      </c>
      <c r="AR129" s="5" t="s">
        <v>450</v>
      </c>
      <c r="AS129" s="5"/>
      <c r="AT129" s="5"/>
      <c r="AU129" s="5"/>
      <c r="AV129" s="5"/>
      <c r="AW129" s="8"/>
      <c r="AX129" t="s">
        <v>1135</v>
      </c>
      <c r="AY129" t="s">
        <v>2152</v>
      </c>
    </row>
    <row r="130" spans="1:51" x14ac:dyDescent="0.35">
      <c r="A130" s="4" t="s">
        <v>441</v>
      </c>
      <c r="B130" s="5" t="s">
        <v>441</v>
      </c>
      <c r="C130" s="5" t="s">
        <v>611</v>
      </c>
      <c r="D130" s="5" t="s">
        <v>50</v>
      </c>
      <c r="E130" s="5" t="s">
        <v>51</v>
      </c>
      <c r="F130" s="5" t="s">
        <v>558</v>
      </c>
      <c r="G130" s="5" t="s">
        <v>53</v>
      </c>
      <c r="H130" s="5" t="s">
        <v>54</v>
      </c>
      <c r="I130" s="5" t="s">
        <v>617</v>
      </c>
      <c r="J130" s="5" t="s">
        <v>56</v>
      </c>
      <c r="K130" s="5" t="s">
        <v>57</v>
      </c>
      <c r="L130" s="5" t="s">
        <v>58</v>
      </c>
      <c r="M130" s="5" t="s">
        <v>59</v>
      </c>
      <c r="N130" s="5" t="s">
        <v>60</v>
      </c>
      <c r="O130" s="5" t="s">
        <v>60</v>
      </c>
      <c r="P130" s="5" t="s">
        <v>61</v>
      </c>
      <c r="Q130" s="5" t="s">
        <v>62</v>
      </c>
      <c r="R130" s="5" t="s">
        <v>63</v>
      </c>
      <c r="S130" s="5" t="s">
        <v>64</v>
      </c>
      <c r="T130" s="5" t="s">
        <v>65</v>
      </c>
      <c r="U130" s="5" t="s">
        <v>66</v>
      </c>
      <c r="V130" s="5" t="s">
        <v>498</v>
      </c>
      <c r="W130" s="5" t="s">
        <v>510</v>
      </c>
      <c r="X130" s="5" t="s">
        <v>95</v>
      </c>
      <c r="Y130" s="5" t="s">
        <v>500</v>
      </c>
      <c r="Z130" s="5" t="s">
        <v>71</v>
      </c>
      <c r="AA130" s="5" t="s">
        <v>87</v>
      </c>
      <c r="AB130" s="5" t="s">
        <v>88</v>
      </c>
      <c r="AC130" s="5" t="s">
        <v>89</v>
      </c>
      <c r="AD130" s="5" t="s">
        <v>75</v>
      </c>
      <c r="AE130" s="5" t="s">
        <v>124</v>
      </c>
      <c r="AF130" s="6">
        <v>4326</v>
      </c>
      <c r="AG130" s="7">
        <v>1</v>
      </c>
      <c r="AH130" s="6">
        <v>4326</v>
      </c>
      <c r="AI130" s="5" t="s">
        <v>118</v>
      </c>
      <c r="AJ130" s="10">
        <v>45979</v>
      </c>
      <c r="AK130" s="5" t="s">
        <v>618</v>
      </c>
      <c r="AL130" s="5" t="s">
        <v>79</v>
      </c>
      <c r="AM130" s="5">
        <v>1619409</v>
      </c>
      <c r="AN130" s="5" t="s">
        <v>80</v>
      </c>
      <c r="AO130" s="5">
        <v>1094010</v>
      </c>
      <c r="AP130" s="5" t="s">
        <v>81</v>
      </c>
      <c r="AQ130" s="5" t="s">
        <v>64</v>
      </c>
      <c r="AR130" s="5" t="s">
        <v>95</v>
      </c>
      <c r="AS130" s="5"/>
      <c r="AT130" s="5"/>
      <c r="AU130" s="5"/>
      <c r="AV130" s="5"/>
      <c r="AW130" s="8"/>
      <c r="AX130" t="s">
        <v>1135</v>
      </c>
      <c r="AY130" t="s">
        <v>2152</v>
      </c>
    </row>
    <row r="131" spans="1:51" x14ac:dyDescent="0.35">
      <c r="A131" s="4" t="s">
        <v>441</v>
      </c>
      <c r="B131" s="5" t="s">
        <v>441</v>
      </c>
      <c r="C131" s="5" t="s">
        <v>611</v>
      </c>
      <c r="D131" s="5" t="s">
        <v>50</v>
      </c>
      <c r="E131" s="5" t="s">
        <v>51</v>
      </c>
      <c r="F131" s="5" t="s">
        <v>558</v>
      </c>
      <c r="G131" s="5" t="s">
        <v>53</v>
      </c>
      <c r="H131" s="5" t="s">
        <v>54</v>
      </c>
      <c r="I131" s="5" t="s">
        <v>617</v>
      </c>
      <c r="J131" s="5" t="s">
        <v>56</v>
      </c>
      <c r="K131" s="5" t="s">
        <v>57</v>
      </c>
      <c r="L131" s="5" t="s">
        <v>58</v>
      </c>
      <c r="M131" s="5" t="s">
        <v>59</v>
      </c>
      <c r="N131" s="5" t="s">
        <v>60</v>
      </c>
      <c r="O131" s="5" t="s">
        <v>60</v>
      </c>
      <c r="P131" s="5" t="s">
        <v>61</v>
      </c>
      <c r="Q131" s="5" t="s">
        <v>62</v>
      </c>
      <c r="R131" s="5" t="s">
        <v>63</v>
      </c>
      <c r="S131" s="5" t="s">
        <v>64</v>
      </c>
      <c r="T131" s="5" t="s">
        <v>65</v>
      </c>
      <c r="U131" s="5" t="s">
        <v>66</v>
      </c>
      <c r="V131" s="5" t="s">
        <v>619</v>
      </c>
      <c r="W131" s="5" t="s">
        <v>620</v>
      </c>
      <c r="X131" s="5" t="s">
        <v>69</v>
      </c>
      <c r="Y131" s="5" t="s">
        <v>621</v>
      </c>
      <c r="Z131" s="5" t="s">
        <v>71</v>
      </c>
      <c r="AA131" s="5" t="s">
        <v>72</v>
      </c>
      <c r="AB131" s="5" t="s">
        <v>73</v>
      </c>
      <c r="AC131" s="5" t="s">
        <v>74</v>
      </c>
      <c r="AD131" s="5" t="s">
        <v>75</v>
      </c>
      <c r="AE131" s="5" t="s">
        <v>201</v>
      </c>
      <c r="AF131" s="6">
        <v>35203.86</v>
      </c>
      <c r="AG131" s="7">
        <v>1</v>
      </c>
      <c r="AH131" s="6">
        <v>35203.86</v>
      </c>
      <c r="AI131" s="5" t="s">
        <v>77</v>
      </c>
      <c r="AJ131" s="10">
        <v>45979</v>
      </c>
      <c r="AK131" s="5" t="s">
        <v>618</v>
      </c>
      <c r="AL131" s="5" t="s">
        <v>79</v>
      </c>
      <c r="AM131" s="5">
        <v>1619409</v>
      </c>
      <c r="AN131" s="5" t="s">
        <v>80</v>
      </c>
      <c r="AO131" s="5">
        <v>1094010</v>
      </c>
      <c r="AP131" s="5" t="s">
        <v>81</v>
      </c>
      <c r="AQ131" s="5" t="s">
        <v>64</v>
      </c>
      <c r="AR131" s="5" t="s">
        <v>69</v>
      </c>
      <c r="AS131" s="5"/>
      <c r="AT131" s="5"/>
      <c r="AU131" s="5"/>
      <c r="AV131" s="5"/>
      <c r="AW131" s="8"/>
      <c r="AX131" t="s">
        <v>1135</v>
      </c>
      <c r="AY131" t="s">
        <v>2152</v>
      </c>
    </row>
    <row r="132" spans="1:51" x14ac:dyDescent="0.35">
      <c r="A132" s="4" t="s">
        <v>441</v>
      </c>
      <c r="B132" s="5" t="s">
        <v>441</v>
      </c>
      <c r="C132" s="5" t="s">
        <v>611</v>
      </c>
      <c r="D132" s="5" t="s">
        <v>50</v>
      </c>
      <c r="E132" s="5" t="s">
        <v>51</v>
      </c>
      <c r="F132" s="5" t="s">
        <v>558</v>
      </c>
      <c r="G132" s="5" t="s">
        <v>53</v>
      </c>
      <c r="H132" s="5" t="s">
        <v>54</v>
      </c>
      <c r="I132" s="5" t="s">
        <v>622</v>
      </c>
      <c r="J132" s="5" t="s">
        <v>56</v>
      </c>
      <c r="K132" s="5" t="s">
        <v>57</v>
      </c>
      <c r="L132" s="5" t="s">
        <v>58</v>
      </c>
      <c r="M132" s="5" t="s">
        <v>59</v>
      </c>
      <c r="N132" s="5" t="s">
        <v>60</v>
      </c>
      <c r="O132" s="5" t="s">
        <v>60</v>
      </c>
      <c r="P132" s="5" t="s">
        <v>61</v>
      </c>
      <c r="Q132" s="5" t="s">
        <v>62</v>
      </c>
      <c r="R132" s="5" t="s">
        <v>63</v>
      </c>
      <c r="S132" s="5" t="s">
        <v>64</v>
      </c>
      <c r="T132" s="5" t="s">
        <v>65</v>
      </c>
      <c r="U132" s="5" t="s">
        <v>66</v>
      </c>
      <c r="V132" s="5" t="s">
        <v>478</v>
      </c>
      <c r="W132" s="5" t="s">
        <v>479</v>
      </c>
      <c r="X132" s="5" t="s">
        <v>162</v>
      </c>
      <c r="Y132" s="5" t="s">
        <v>480</v>
      </c>
      <c r="Z132" s="5" t="s">
        <v>71</v>
      </c>
      <c r="AA132" s="5" t="s">
        <v>87</v>
      </c>
      <c r="AB132" s="5" t="s">
        <v>88</v>
      </c>
      <c r="AC132" s="5" t="s">
        <v>89</v>
      </c>
      <c r="AD132" s="5" t="s">
        <v>75</v>
      </c>
      <c r="AE132" s="5" t="s">
        <v>124</v>
      </c>
      <c r="AF132" s="6">
        <v>4326</v>
      </c>
      <c r="AG132" s="7">
        <v>1</v>
      </c>
      <c r="AH132" s="6">
        <v>4326</v>
      </c>
      <c r="AI132" s="5" t="s">
        <v>118</v>
      </c>
      <c r="AJ132" s="10">
        <v>45979</v>
      </c>
      <c r="AK132" s="5" t="s">
        <v>623</v>
      </c>
      <c r="AL132" s="5" t="s">
        <v>79</v>
      </c>
      <c r="AM132" s="5">
        <v>1619409</v>
      </c>
      <c r="AN132" s="5" t="s">
        <v>80</v>
      </c>
      <c r="AO132" s="5">
        <v>1094010</v>
      </c>
      <c r="AP132" s="5" t="s">
        <v>81</v>
      </c>
      <c r="AQ132" s="5" t="s">
        <v>64</v>
      </c>
      <c r="AR132" s="5" t="s">
        <v>162</v>
      </c>
      <c r="AS132" s="5"/>
      <c r="AT132" s="5"/>
      <c r="AU132" s="5"/>
      <c r="AV132" s="5"/>
      <c r="AW132" s="8"/>
      <c r="AX132" t="s">
        <v>1135</v>
      </c>
      <c r="AY132" t="s">
        <v>2152</v>
      </c>
    </row>
    <row r="133" spans="1:51" x14ac:dyDescent="0.35">
      <c r="A133" s="4" t="s">
        <v>441</v>
      </c>
      <c r="B133" s="5" t="s">
        <v>441</v>
      </c>
      <c r="C133" s="5" t="s">
        <v>624</v>
      </c>
      <c r="D133" s="5" t="s">
        <v>50</v>
      </c>
      <c r="E133" s="5" t="s">
        <v>51</v>
      </c>
      <c r="F133" s="5" t="s">
        <v>558</v>
      </c>
      <c r="G133" s="5" t="s">
        <v>53</v>
      </c>
      <c r="H133" s="5" t="s">
        <v>54</v>
      </c>
      <c r="I133" s="5" t="s">
        <v>625</v>
      </c>
      <c r="J133" s="5" t="s">
        <v>56</v>
      </c>
      <c r="K133" s="5" t="s">
        <v>57</v>
      </c>
      <c r="L133" s="5" t="s">
        <v>58</v>
      </c>
      <c r="M133" s="5" t="s">
        <v>59</v>
      </c>
      <c r="N133" s="5" t="s">
        <v>60</v>
      </c>
      <c r="O133" s="5" t="s">
        <v>60</v>
      </c>
      <c r="P133" s="5" t="s">
        <v>61</v>
      </c>
      <c r="Q133" s="5" t="s">
        <v>62</v>
      </c>
      <c r="R133" s="5" t="s">
        <v>63</v>
      </c>
      <c r="S133" s="5" t="s">
        <v>64</v>
      </c>
      <c r="T133" s="5" t="s">
        <v>65</v>
      </c>
      <c r="U133" s="5" t="s">
        <v>66</v>
      </c>
      <c r="V133" s="5" t="s">
        <v>626</v>
      </c>
      <c r="W133" s="5" t="s">
        <v>627</v>
      </c>
      <c r="X133" s="5" t="s">
        <v>95</v>
      </c>
      <c r="Y133" s="5" t="s">
        <v>628</v>
      </c>
      <c r="Z133" s="5" t="s">
        <v>71</v>
      </c>
      <c r="AA133" s="5" t="s">
        <v>87</v>
      </c>
      <c r="AB133" s="5" t="s">
        <v>88</v>
      </c>
      <c r="AC133" s="5" t="s">
        <v>89</v>
      </c>
      <c r="AD133" s="5" t="s">
        <v>75</v>
      </c>
      <c r="AE133" s="5" t="s">
        <v>90</v>
      </c>
      <c r="AF133" s="6">
        <v>4326</v>
      </c>
      <c r="AG133" s="7">
        <v>1</v>
      </c>
      <c r="AH133" s="6">
        <v>4326</v>
      </c>
      <c r="AI133" s="5" t="s">
        <v>629</v>
      </c>
      <c r="AJ133" s="10">
        <v>45980</v>
      </c>
      <c r="AK133" s="5" t="s">
        <v>630</v>
      </c>
      <c r="AL133" s="5" t="s">
        <v>79</v>
      </c>
      <c r="AM133" s="5">
        <v>1619409</v>
      </c>
      <c r="AN133" s="5" t="s">
        <v>80</v>
      </c>
      <c r="AO133" s="5">
        <v>1094010</v>
      </c>
      <c r="AP133" s="5" t="s">
        <v>81</v>
      </c>
      <c r="AQ133" s="5" t="s">
        <v>64</v>
      </c>
      <c r="AR133" s="5" t="s">
        <v>95</v>
      </c>
      <c r="AS133" s="5"/>
      <c r="AT133" s="5"/>
      <c r="AU133" s="5"/>
      <c r="AV133" s="5"/>
      <c r="AW133" s="8"/>
      <c r="AX133" t="s">
        <v>1135</v>
      </c>
      <c r="AY133" t="s">
        <v>2152</v>
      </c>
    </row>
    <row r="134" spans="1:51" x14ac:dyDescent="0.35">
      <c r="A134" s="4" t="s">
        <v>441</v>
      </c>
      <c r="B134" s="5" t="s">
        <v>441</v>
      </c>
      <c r="C134" s="5" t="s">
        <v>624</v>
      </c>
      <c r="D134" s="5" t="s">
        <v>50</v>
      </c>
      <c r="E134" s="5" t="s">
        <v>51</v>
      </c>
      <c r="F134" s="5" t="s">
        <v>558</v>
      </c>
      <c r="G134" s="5" t="s">
        <v>53</v>
      </c>
      <c r="H134" s="5" t="s">
        <v>54</v>
      </c>
      <c r="I134" s="5" t="s">
        <v>631</v>
      </c>
      <c r="J134" s="5" t="s">
        <v>56</v>
      </c>
      <c r="K134" s="5" t="s">
        <v>57</v>
      </c>
      <c r="L134" s="5" t="s">
        <v>58</v>
      </c>
      <c r="M134" s="5" t="s">
        <v>59</v>
      </c>
      <c r="N134" s="5" t="s">
        <v>60</v>
      </c>
      <c r="O134" s="5" t="s">
        <v>60</v>
      </c>
      <c r="P134" s="5" t="s">
        <v>61</v>
      </c>
      <c r="Q134" s="5" t="s">
        <v>62</v>
      </c>
      <c r="R134" s="5" t="s">
        <v>63</v>
      </c>
      <c r="S134" s="5" t="s">
        <v>64</v>
      </c>
      <c r="T134" s="5" t="s">
        <v>65</v>
      </c>
      <c r="U134" s="5" t="s">
        <v>66</v>
      </c>
      <c r="V134" s="5" t="s">
        <v>632</v>
      </c>
      <c r="W134" s="5" t="s">
        <v>633</v>
      </c>
      <c r="X134" s="5" t="s">
        <v>434</v>
      </c>
      <c r="Y134" s="5" t="s">
        <v>634</v>
      </c>
      <c r="Z134" s="5" t="s">
        <v>71</v>
      </c>
      <c r="AA134" s="5" t="s">
        <v>72</v>
      </c>
      <c r="AB134" s="5" t="s">
        <v>131</v>
      </c>
      <c r="AC134" s="5" t="s">
        <v>132</v>
      </c>
      <c r="AD134" s="5" t="s">
        <v>75</v>
      </c>
      <c r="AE134" s="5" t="s">
        <v>635</v>
      </c>
      <c r="AF134" s="6">
        <v>16500</v>
      </c>
      <c r="AG134" s="7">
        <v>1</v>
      </c>
      <c r="AH134" s="6">
        <v>16500</v>
      </c>
      <c r="AI134" s="5" t="s">
        <v>379</v>
      </c>
      <c r="AJ134" s="10">
        <v>45980</v>
      </c>
      <c r="AK134" s="5" t="s">
        <v>636</v>
      </c>
      <c r="AL134" s="5" t="s">
        <v>79</v>
      </c>
      <c r="AM134" s="5">
        <v>1619409</v>
      </c>
      <c r="AN134" s="5" t="s">
        <v>80</v>
      </c>
      <c r="AO134" s="5">
        <v>1094010</v>
      </c>
      <c r="AP134" s="5" t="s">
        <v>81</v>
      </c>
      <c r="AQ134" s="5" t="s">
        <v>64</v>
      </c>
      <c r="AR134" s="5" t="s">
        <v>434</v>
      </c>
      <c r="AS134" s="5"/>
      <c r="AT134" s="5"/>
      <c r="AU134" s="5"/>
      <c r="AV134" s="5"/>
      <c r="AW134" s="8"/>
      <c r="AX134" t="s">
        <v>1135</v>
      </c>
      <c r="AY134" t="s">
        <v>2152</v>
      </c>
    </row>
    <row r="135" spans="1:51" x14ac:dyDescent="0.35">
      <c r="A135" s="4" t="s">
        <v>441</v>
      </c>
      <c r="B135" s="5" t="s">
        <v>441</v>
      </c>
      <c r="C135" s="5" t="s">
        <v>624</v>
      </c>
      <c r="D135" s="5" t="s">
        <v>50</v>
      </c>
      <c r="E135" s="5" t="s">
        <v>51</v>
      </c>
      <c r="F135" s="5" t="s">
        <v>558</v>
      </c>
      <c r="G135" s="5" t="s">
        <v>53</v>
      </c>
      <c r="H135" s="5" t="s">
        <v>54</v>
      </c>
      <c r="I135" s="5" t="s">
        <v>637</v>
      </c>
      <c r="J135" s="5" t="s">
        <v>56</v>
      </c>
      <c r="K135" s="5" t="s">
        <v>57</v>
      </c>
      <c r="L135" s="5" t="s">
        <v>58</v>
      </c>
      <c r="M135" s="5" t="s">
        <v>59</v>
      </c>
      <c r="N135" s="5" t="s">
        <v>60</v>
      </c>
      <c r="O135" s="5" t="s">
        <v>60</v>
      </c>
      <c r="P135" s="5" t="s">
        <v>61</v>
      </c>
      <c r="Q135" s="5" t="s">
        <v>62</v>
      </c>
      <c r="R135" s="5" t="s">
        <v>63</v>
      </c>
      <c r="S135" s="5" t="s">
        <v>64</v>
      </c>
      <c r="T135" s="5" t="s">
        <v>65</v>
      </c>
      <c r="U135" s="5" t="s">
        <v>66</v>
      </c>
      <c r="V135" s="5" t="s">
        <v>113</v>
      </c>
      <c r="W135" s="5" t="s">
        <v>114</v>
      </c>
      <c r="X135" s="5" t="s">
        <v>115</v>
      </c>
      <c r="Y135" s="5" t="s">
        <v>116</v>
      </c>
      <c r="Z135" s="5" t="s">
        <v>71</v>
      </c>
      <c r="AA135" s="5" t="s">
        <v>87</v>
      </c>
      <c r="AB135" s="5" t="s">
        <v>88</v>
      </c>
      <c r="AC135" s="5" t="s">
        <v>89</v>
      </c>
      <c r="AD135" s="5" t="s">
        <v>75</v>
      </c>
      <c r="AE135" s="5" t="s">
        <v>117</v>
      </c>
      <c r="AF135" s="6">
        <v>4326</v>
      </c>
      <c r="AG135" s="7">
        <v>1</v>
      </c>
      <c r="AH135" s="6">
        <v>4326</v>
      </c>
      <c r="AI135" s="5" t="s">
        <v>118</v>
      </c>
      <c r="AJ135" s="10">
        <v>45980</v>
      </c>
      <c r="AK135" s="5" t="s">
        <v>638</v>
      </c>
      <c r="AL135" s="5" t="s">
        <v>79</v>
      </c>
      <c r="AM135" s="5">
        <v>1619409</v>
      </c>
      <c r="AN135" s="5" t="s">
        <v>80</v>
      </c>
      <c r="AO135" s="5">
        <v>1094010</v>
      </c>
      <c r="AP135" s="5" t="s">
        <v>81</v>
      </c>
      <c r="AQ135" s="5" t="s">
        <v>64</v>
      </c>
      <c r="AR135" s="5" t="s">
        <v>115</v>
      </c>
      <c r="AS135" s="5"/>
      <c r="AT135" s="5"/>
      <c r="AU135" s="5"/>
      <c r="AV135" s="5"/>
      <c r="AW135" s="8"/>
      <c r="AX135" t="s">
        <v>1135</v>
      </c>
      <c r="AY135" t="s">
        <v>2152</v>
      </c>
    </row>
    <row r="136" spans="1:51" x14ac:dyDescent="0.35">
      <c r="A136" s="4" t="s">
        <v>441</v>
      </c>
      <c r="B136" s="5" t="s">
        <v>441</v>
      </c>
      <c r="C136" s="5" t="s">
        <v>624</v>
      </c>
      <c r="D136" s="5" t="s">
        <v>50</v>
      </c>
      <c r="E136" s="5" t="s">
        <v>51</v>
      </c>
      <c r="F136" s="5" t="s">
        <v>558</v>
      </c>
      <c r="G136" s="5" t="s">
        <v>53</v>
      </c>
      <c r="H136" s="5" t="s">
        <v>54</v>
      </c>
      <c r="I136" s="5" t="s">
        <v>639</v>
      </c>
      <c r="J136" s="5" t="s">
        <v>56</v>
      </c>
      <c r="K136" s="5" t="s">
        <v>57</v>
      </c>
      <c r="L136" s="5" t="s">
        <v>58</v>
      </c>
      <c r="M136" s="5" t="s">
        <v>59</v>
      </c>
      <c r="N136" s="5" t="s">
        <v>60</v>
      </c>
      <c r="O136" s="5" t="s">
        <v>60</v>
      </c>
      <c r="P136" s="5" t="s">
        <v>61</v>
      </c>
      <c r="Q136" s="5" t="s">
        <v>62</v>
      </c>
      <c r="R136" s="5" t="s">
        <v>63</v>
      </c>
      <c r="S136" s="5" t="s">
        <v>64</v>
      </c>
      <c r="T136" s="5" t="s">
        <v>65</v>
      </c>
      <c r="U136" s="5" t="s">
        <v>66</v>
      </c>
      <c r="V136" s="5" t="s">
        <v>166</v>
      </c>
      <c r="W136" s="5" t="s">
        <v>483</v>
      </c>
      <c r="X136" s="5" t="s">
        <v>146</v>
      </c>
      <c r="Y136" s="5" t="s">
        <v>169</v>
      </c>
      <c r="Z136" s="5" t="s">
        <v>71</v>
      </c>
      <c r="AA136" s="5" t="s">
        <v>87</v>
      </c>
      <c r="AB136" s="5" t="s">
        <v>104</v>
      </c>
      <c r="AC136" s="5" t="s">
        <v>105</v>
      </c>
      <c r="AD136" s="5" t="s">
        <v>75</v>
      </c>
      <c r="AE136" s="5" t="s">
        <v>170</v>
      </c>
      <c r="AF136" s="6">
        <v>2920</v>
      </c>
      <c r="AG136" s="7">
        <v>1</v>
      </c>
      <c r="AH136" s="6">
        <v>2920</v>
      </c>
      <c r="AI136" s="5" t="s">
        <v>316</v>
      </c>
      <c r="AJ136" s="10">
        <v>45980</v>
      </c>
      <c r="AK136" s="5" t="s">
        <v>640</v>
      </c>
      <c r="AL136" s="5" t="s">
        <v>79</v>
      </c>
      <c r="AM136" s="5">
        <v>1619409</v>
      </c>
      <c r="AN136" s="5" t="s">
        <v>80</v>
      </c>
      <c r="AO136" s="5">
        <v>1094010</v>
      </c>
      <c r="AP136" s="5" t="s">
        <v>81</v>
      </c>
      <c r="AQ136" s="5" t="s">
        <v>64</v>
      </c>
      <c r="AR136" s="5" t="s">
        <v>146</v>
      </c>
      <c r="AS136" s="5"/>
      <c r="AT136" s="5"/>
      <c r="AU136" s="5"/>
      <c r="AV136" s="5"/>
      <c r="AW136" s="8"/>
      <c r="AX136" t="s">
        <v>1135</v>
      </c>
      <c r="AY136" t="s">
        <v>2152</v>
      </c>
    </row>
    <row r="137" spans="1:51" x14ac:dyDescent="0.35">
      <c r="A137" s="4" t="s">
        <v>441</v>
      </c>
      <c r="B137" s="5" t="s">
        <v>441</v>
      </c>
      <c r="C137" s="5" t="s">
        <v>624</v>
      </c>
      <c r="D137" s="5" t="s">
        <v>50</v>
      </c>
      <c r="E137" s="5" t="s">
        <v>51</v>
      </c>
      <c r="F137" s="5" t="s">
        <v>558</v>
      </c>
      <c r="G137" s="5" t="s">
        <v>53</v>
      </c>
      <c r="H137" s="5" t="s">
        <v>54</v>
      </c>
      <c r="I137" s="5" t="s">
        <v>639</v>
      </c>
      <c r="J137" s="5" t="s">
        <v>56</v>
      </c>
      <c r="K137" s="5" t="s">
        <v>57</v>
      </c>
      <c r="L137" s="5" t="s">
        <v>58</v>
      </c>
      <c r="M137" s="5" t="s">
        <v>59</v>
      </c>
      <c r="N137" s="5" t="s">
        <v>60</v>
      </c>
      <c r="O137" s="5" t="s">
        <v>60</v>
      </c>
      <c r="P137" s="5" t="s">
        <v>61</v>
      </c>
      <c r="Q137" s="5" t="s">
        <v>62</v>
      </c>
      <c r="R137" s="5" t="s">
        <v>63</v>
      </c>
      <c r="S137" s="5" t="s">
        <v>64</v>
      </c>
      <c r="T137" s="5" t="s">
        <v>65</v>
      </c>
      <c r="U137" s="5" t="s">
        <v>66</v>
      </c>
      <c r="V137" s="5" t="s">
        <v>502</v>
      </c>
      <c r="W137" s="5" t="s">
        <v>503</v>
      </c>
      <c r="X137" s="5" t="s">
        <v>504</v>
      </c>
      <c r="Y137" s="5" t="s">
        <v>505</v>
      </c>
      <c r="Z137" s="5" t="s">
        <v>71</v>
      </c>
      <c r="AA137" s="5" t="s">
        <v>87</v>
      </c>
      <c r="AB137" s="5" t="s">
        <v>88</v>
      </c>
      <c r="AC137" s="5" t="s">
        <v>89</v>
      </c>
      <c r="AD137" s="5" t="s">
        <v>75</v>
      </c>
      <c r="AE137" s="5" t="s">
        <v>97</v>
      </c>
      <c r="AF137" s="6">
        <v>4326</v>
      </c>
      <c r="AG137" s="7">
        <v>1</v>
      </c>
      <c r="AH137" s="6">
        <v>4326</v>
      </c>
      <c r="AI137" s="5" t="s">
        <v>506</v>
      </c>
      <c r="AJ137" s="10">
        <v>45980</v>
      </c>
      <c r="AK137" s="5" t="s">
        <v>640</v>
      </c>
      <c r="AL137" s="5" t="s">
        <v>79</v>
      </c>
      <c r="AM137" s="5">
        <v>1619409</v>
      </c>
      <c r="AN137" s="5" t="s">
        <v>80</v>
      </c>
      <c r="AO137" s="5">
        <v>1094010</v>
      </c>
      <c r="AP137" s="5" t="s">
        <v>81</v>
      </c>
      <c r="AQ137" s="5" t="s">
        <v>64</v>
      </c>
      <c r="AR137" s="5" t="s">
        <v>504</v>
      </c>
      <c r="AS137" s="5"/>
      <c r="AT137" s="5"/>
      <c r="AU137" s="5"/>
      <c r="AV137" s="5"/>
      <c r="AW137" s="8"/>
      <c r="AX137" t="s">
        <v>1135</v>
      </c>
      <c r="AY137" t="s">
        <v>2152</v>
      </c>
    </row>
    <row r="138" spans="1:51" x14ac:dyDescent="0.35">
      <c r="A138" s="4" t="s">
        <v>441</v>
      </c>
      <c r="B138" s="5" t="s">
        <v>441</v>
      </c>
      <c r="C138" s="5" t="s">
        <v>641</v>
      </c>
      <c r="D138" s="5" t="s">
        <v>50</v>
      </c>
      <c r="E138" s="5" t="s">
        <v>51</v>
      </c>
      <c r="F138" s="5" t="s">
        <v>558</v>
      </c>
      <c r="G138" s="5" t="s">
        <v>53</v>
      </c>
      <c r="H138" s="5" t="s">
        <v>54</v>
      </c>
      <c r="I138" s="5" t="s">
        <v>642</v>
      </c>
      <c r="J138" s="5" t="s">
        <v>56</v>
      </c>
      <c r="K138" s="5" t="s">
        <v>57</v>
      </c>
      <c r="L138" s="5" t="s">
        <v>58</v>
      </c>
      <c r="M138" s="5" t="s">
        <v>59</v>
      </c>
      <c r="N138" s="5" t="s">
        <v>60</v>
      </c>
      <c r="O138" s="5" t="s">
        <v>60</v>
      </c>
      <c r="P138" s="5" t="s">
        <v>61</v>
      </c>
      <c r="Q138" s="5" t="s">
        <v>62</v>
      </c>
      <c r="R138" s="5" t="s">
        <v>63</v>
      </c>
      <c r="S138" s="5" t="s">
        <v>64</v>
      </c>
      <c r="T138" s="5" t="s">
        <v>65</v>
      </c>
      <c r="U138" s="5" t="s">
        <v>66</v>
      </c>
      <c r="V138" s="5" t="s">
        <v>643</v>
      </c>
      <c r="W138" s="5" t="s">
        <v>644</v>
      </c>
      <c r="X138" s="5" t="s">
        <v>645</v>
      </c>
      <c r="Y138" s="5" t="s">
        <v>646</v>
      </c>
      <c r="Z138" s="5" t="s">
        <v>71</v>
      </c>
      <c r="AA138" s="5" t="s">
        <v>72</v>
      </c>
      <c r="AB138" s="5" t="s">
        <v>131</v>
      </c>
      <c r="AC138" s="5" t="s">
        <v>132</v>
      </c>
      <c r="AD138" s="5" t="s">
        <v>75</v>
      </c>
      <c r="AE138" s="5" t="s">
        <v>133</v>
      </c>
      <c r="AF138" s="6">
        <v>16500</v>
      </c>
      <c r="AG138" s="7">
        <v>1</v>
      </c>
      <c r="AH138" s="6">
        <v>16500</v>
      </c>
      <c r="AI138" s="5" t="s">
        <v>647</v>
      </c>
      <c r="AJ138" s="10">
        <v>45981</v>
      </c>
      <c r="AK138" s="5" t="s">
        <v>648</v>
      </c>
      <c r="AL138" s="5" t="s">
        <v>79</v>
      </c>
      <c r="AM138" s="5">
        <v>1619409</v>
      </c>
      <c r="AN138" s="5" t="s">
        <v>80</v>
      </c>
      <c r="AO138" s="5">
        <v>1094010</v>
      </c>
      <c r="AP138" s="5" t="s">
        <v>81</v>
      </c>
      <c r="AQ138" s="5" t="s">
        <v>64</v>
      </c>
      <c r="AR138" s="5" t="s">
        <v>645</v>
      </c>
      <c r="AS138" s="5"/>
      <c r="AT138" s="5"/>
      <c r="AU138" s="5"/>
      <c r="AV138" s="5"/>
      <c r="AW138" s="8"/>
      <c r="AX138" t="s">
        <v>1135</v>
      </c>
      <c r="AY138" t="s">
        <v>2152</v>
      </c>
    </row>
    <row r="139" spans="1:51" x14ac:dyDescent="0.35">
      <c r="A139" s="4" t="s">
        <v>441</v>
      </c>
      <c r="B139" s="5" t="s">
        <v>441</v>
      </c>
      <c r="C139" s="5" t="s">
        <v>641</v>
      </c>
      <c r="D139" s="5" t="s">
        <v>50</v>
      </c>
      <c r="E139" s="5" t="s">
        <v>51</v>
      </c>
      <c r="F139" s="5" t="s">
        <v>558</v>
      </c>
      <c r="G139" s="5" t="s">
        <v>53</v>
      </c>
      <c r="H139" s="5" t="s">
        <v>54</v>
      </c>
      <c r="I139" s="5" t="s">
        <v>649</v>
      </c>
      <c r="J139" s="5" t="s">
        <v>56</v>
      </c>
      <c r="K139" s="5" t="s">
        <v>57</v>
      </c>
      <c r="L139" s="5" t="s">
        <v>58</v>
      </c>
      <c r="M139" s="5" t="s">
        <v>59</v>
      </c>
      <c r="N139" s="5" t="s">
        <v>60</v>
      </c>
      <c r="O139" s="5" t="s">
        <v>60</v>
      </c>
      <c r="P139" s="5" t="s">
        <v>61</v>
      </c>
      <c r="Q139" s="5" t="s">
        <v>62</v>
      </c>
      <c r="R139" s="5" t="s">
        <v>63</v>
      </c>
      <c r="S139" s="5" t="s">
        <v>64</v>
      </c>
      <c r="T139" s="5" t="s">
        <v>65</v>
      </c>
      <c r="U139" s="5" t="s">
        <v>66</v>
      </c>
      <c r="V139" s="5" t="s">
        <v>650</v>
      </c>
      <c r="W139" s="5" t="s">
        <v>651</v>
      </c>
      <c r="X139" s="5" t="s">
        <v>586</v>
      </c>
      <c r="Y139" s="5" t="s">
        <v>652</v>
      </c>
      <c r="Z139" s="5" t="s">
        <v>71</v>
      </c>
      <c r="AA139" s="5" t="s">
        <v>87</v>
      </c>
      <c r="AB139" s="5" t="s">
        <v>104</v>
      </c>
      <c r="AC139" s="5" t="s">
        <v>105</v>
      </c>
      <c r="AD139" s="5" t="s">
        <v>75</v>
      </c>
      <c r="AE139" s="5" t="s">
        <v>170</v>
      </c>
      <c r="AF139" s="6">
        <v>2835</v>
      </c>
      <c r="AG139" s="7">
        <v>1</v>
      </c>
      <c r="AH139" s="6">
        <v>2835</v>
      </c>
      <c r="AI139" s="5" t="s">
        <v>653</v>
      </c>
      <c r="AJ139" s="10">
        <v>45981</v>
      </c>
      <c r="AK139" s="5" t="s">
        <v>654</v>
      </c>
      <c r="AL139" s="5" t="s">
        <v>79</v>
      </c>
      <c r="AM139" s="5">
        <v>1619409</v>
      </c>
      <c r="AN139" s="5" t="s">
        <v>80</v>
      </c>
      <c r="AO139" s="5">
        <v>1094010</v>
      </c>
      <c r="AP139" s="5" t="s">
        <v>81</v>
      </c>
      <c r="AQ139" s="5" t="s">
        <v>64</v>
      </c>
      <c r="AR139" s="5" t="s">
        <v>586</v>
      </c>
      <c r="AS139" s="5"/>
      <c r="AT139" s="5"/>
      <c r="AU139" s="5"/>
      <c r="AV139" s="5"/>
      <c r="AW139" s="8"/>
      <c r="AX139" t="s">
        <v>1135</v>
      </c>
      <c r="AY139" t="s">
        <v>2152</v>
      </c>
    </row>
    <row r="140" spans="1:51" x14ac:dyDescent="0.35">
      <c r="A140" s="4" t="s">
        <v>441</v>
      </c>
      <c r="B140" s="5" t="s">
        <v>441</v>
      </c>
      <c r="C140" s="5" t="s">
        <v>641</v>
      </c>
      <c r="D140" s="5" t="s">
        <v>50</v>
      </c>
      <c r="E140" s="5" t="s">
        <v>51</v>
      </c>
      <c r="F140" s="5" t="s">
        <v>558</v>
      </c>
      <c r="G140" s="5" t="s">
        <v>53</v>
      </c>
      <c r="H140" s="5" t="s">
        <v>54</v>
      </c>
      <c r="I140" s="5" t="s">
        <v>649</v>
      </c>
      <c r="J140" s="5" t="s">
        <v>56</v>
      </c>
      <c r="K140" s="5" t="s">
        <v>57</v>
      </c>
      <c r="L140" s="5" t="s">
        <v>58</v>
      </c>
      <c r="M140" s="5" t="s">
        <v>59</v>
      </c>
      <c r="N140" s="5" t="s">
        <v>60</v>
      </c>
      <c r="O140" s="5" t="s">
        <v>60</v>
      </c>
      <c r="P140" s="5" t="s">
        <v>61</v>
      </c>
      <c r="Q140" s="5" t="s">
        <v>62</v>
      </c>
      <c r="R140" s="5" t="s">
        <v>63</v>
      </c>
      <c r="S140" s="5" t="s">
        <v>64</v>
      </c>
      <c r="T140" s="5" t="s">
        <v>65</v>
      </c>
      <c r="U140" s="5" t="s">
        <v>66</v>
      </c>
      <c r="V140" s="5" t="s">
        <v>212</v>
      </c>
      <c r="W140" s="5" t="s">
        <v>213</v>
      </c>
      <c r="X140" s="5" t="s">
        <v>207</v>
      </c>
      <c r="Y140" s="5" t="s">
        <v>214</v>
      </c>
      <c r="Z140" s="5" t="s">
        <v>71</v>
      </c>
      <c r="AA140" s="5" t="s">
        <v>87</v>
      </c>
      <c r="AB140" s="5" t="s">
        <v>88</v>
      </c>
      <c r="AC140" s="5" t="s">
        <v>89</v>
      </c>
      <c r="AD140" s="5" t="s">
        <v>75</v>
      </c>
      <c r="AE140" s="5" t="s">
        <v>117</v>
      </c>
      <c r="AF140" s="6">
        <v>4326</v>
      </c>
      <c r="AG140" s="7">
        <v>1</v>
      </c>
      <c r="AH140" s="6">
        <v>4326</v>
      </c>
      <c r="AI140" s="5" t="s">
        <v>118</v>
      </c>
      <c r="AJ140" s="10">
        <v>45981</v>
      </c>
      <c r="AK140" s="5" t="s">
        <v>654</v>
      </c>
      <c r="AL140" s="5" t="s">
        <v>79</v>
      </c>
      <c r="AM140" s="5">
        <v>1619409</v>
      </c>
      <c r="AN140" s="5" t="s">
        <v>80</v>
      </c>
      <c r="AO140" s="5">
        <v>1094010</v>
      </c>
      <c r="AP140" s="5" t="s">
        <v>81</v>
      </c>
      <c r="AQ140" s="5" t="s">
        <v>64</v>
      </c>
      <c r="AR140" s="5" t="s">
        <v>207</v>
      </c>
      <c r="AS140" s="5"/>
      <c r="AT140" s="5"/>
      <c r="AU140" s="5"/>
      <c r="AV140" s="5"/>
      <c r="AW140" s="8"/>
      <c r="AX140" t="s">
        <v>1135</v>
      </c>
      <c r="AY140" t="s">
        <v>2152</v>
      </c>
    </row>
    <row r="141" spans="1:51" x14ac:dyDescent="0.35">
      <c r="A141" s="4" t="s">
        <v>441</v>
      </c>
      <c r="B141" s="5" t="s">
        <v>441</v>
      </c>
      <c r="C141" s="5" t="s">
        <v>641</v>
      </c>
      <c r="D141" s="5" t="s">
        <v>50</v>
      </c>
      <c r="E141" s="5" t="s">
        <v>51</v>
      </c>
      <c r="F141" s="5" t="s">
        <v>558</v>
      </c>
      <c r="G141" s="5" t="s">
        <v>53</v>
      </c>
      <c r="H141" s="5" t="s">
        <v>54</v>
      </c>
      <c r="I141" s="5" t="s">
        <v>649</v>
      </c>
      <c r="J141" s="5" t="s">
        <v>56</v>
      </c>
      <c r="K141" s="5" t="s">
        <v>57</v>
      </c>
      <c r="L141" s="5" t="s">
        <v>58</v>
      </c>
      <c r="M141" s="5" t="s">
        <v>59</v>
      </c>
      <c r="N141" s="5" t="s">
        <v>60</v>
      </c>
      <c r="O141" s="5" t="s">
        <v>60</v>
      </c>
      <c r="P141" s="5" t="s">
        <v>61</v>
      </c>
      <c r="Q141" s="5" t="s">
        <v>62</v>
      </c>
      <c r="R141" s="5" t="s">
        <v>63</v>
      </c>
      <c r="S141" s="5" t="s">
        <v>64</v>
      </c>
      <c r="T141" s="5" t="s">
        <v>65</v>
      </c>
      <c r="U141" s="5" t="s">
        <v>66</v>
      </c>
      <c r="V141" s="5" t="s">
        <v>220</v>
      </c>
      <c r="W141" s="5" t="s">
        <v>655</v>
      </c>
      <c r="X141" s="5" t="s">
        <v>218</v>
      </c>
      <c r="Y141" s="5" t="s">
        <v>222</v>
      </c>
      <c r="Z141" s="5" t="s">
        <v>71</v>
      </c>
      <c r="AA141" s="5" t="s">
        <v>72</v>
      </c>
      <c r="AB141" s="5" t="s">
        <v>73</v>
      </c>
      <c r="AC141" s="5" t="s">
        <v>74</v>
      </c>
      <c r="AD141" s="5" t="s">
        <v>75</v>
      </c>
      <c r="AE141" s="5" t="s">
        <v>223</v>
      </c>
      <c r="AF141" s="6">
        <v>35818.480000000003</v>
      </c>
      <c r="AG141" s="7">
        <v>1</v>
      </c>
      <c r="AH141" s="6">
        <v>35818.480000000003</v>
      </c>
      <c r="AI141" s="5" t="s">
        <v>421</v>
      </c>
      <c r="AJ141" s="10">
        <v>45981</v>
      </c>
      <c r="AK141" s="5" t="s">
        <v>654</v>
      </c>
      <c r="AL141" s="5" t="s">
        <v>79</v>
      </c>
      <c r="AM141" s="5">
        <v>1619409</v>
      </c>
      <c r="AN141" s="5" t="s">
        <v>80</v>
      </c>
      <c r="AO141" s="5">
        <v>1094010</v>
      </c>
      <c r="AP141" s="5" t="s">
        <v>81</v>
      </c>
      <c r="AQ141" s="5" t="s">
        <v>64</v>
      </c>
      <c r="AR141" s="5" t="s">
        <v>218</v>
      </c>
      <c r="AS141" s="5"/>
      <c r="AT141" s="5"/>
      <c r="AU141" s="5"/>
      <c r="AV141" s="5"/>
      <c r="AW141" s="8"/>
      <c r="AX141" t="s">
        <v>1135</v>
      </c>
      <c r="AY141" t="s">
        <v>2152</v>
      </c>
    </row>
    <row r="142" spans="1:51" x14ac:dyDescent="0.35">
      <c r="A142" s="4" t="s">
        <v>441</v>
      </c>
      <c r="B142" s="5" t="s">
        <v>441</v>
      </c>
      <c r="C142" s="5" t="s">
        <v>641</v>
      </c>
      <c r="D142" s="5" t="s">
        <v>50</v>
      </c>
      <c r="E142" s="5" t="s">
        <v>51</v>
      </c>
      <c r="F142" s="5" t="s">
        <v>558</v>
      </c>
      <c r="G142" s="5" t="s">
        <v>53</v>
      </c>
      <c r="H142" s="5" t="s">
        <v>54</v>
      </c>
      <c r="I142" s="5" t="s">
        <v>649</v>
      </c>
      <c r="J142" s="5" t="s">
        <v>56</v>
      </c>
      <c r="K142" s="5" t="s">
        <v>57</v>
      </c>
      <c r="L142" s="5" t="s">
        <v>58</v>
      </c>
      <c r="M142" s="5" t="s">
        <v>59</v>
      </c>
      <c r="N142" s="5" t="s">
        <v>60</v>
      </c>
      <c r="O142" s="5" t="s">
        <v>60</v>
      </c>
      <c r="P142" s="5" t="s">
        <v>61</v>
      </c>
      <c r="Q142" s="5" t="s">
        <v>62</v>
      </c>
      <c r="R142" s="5" t="s">
        <v>63</v>
      </c>
      <c r="S142" s="5" t="s">
        <v>64</v>
      </c>
      <c r="T142" s="5" t="s">
        <v>65</v>
      </c>
      <c r="U142" s="5" t="s">
        <v>66</v>
      </c>
      <c r="V142" s="5" t="s">
        <v>656</v>
      </c>
      <c r="W142" s="5" t="s">
        <v>657</v>
      </c>
      <c r="X142" s="5" t="s">
        <v>207</v>
      </c>
      <c r="Y142" s="5" t="s">
        <v>658</v>
      </c>
      <c r="Z142" s="5" t="s">
        <v>71</v>
      </c>
      <c r="AA142" s="5" t="s">
        <v>72</v>
      </c>
      <c r="AB142" s="5" t="s">
        <v>73</v>
      </c>
      <c r="AC142" s="5" t="s">
        <v>74</v>
      </c>
      <c r="AD142" s="5" t="s">
        <v>75</v>
      </c>
      <c r="AE142" s="5" t="s">
        <v>223</v>
      </c>
      <c r="AF142" s="6">
        <v>35818.480000000003</v>
      </c>
      <c r="AG142" s="7">
        <v>1</v>
      </c>
      <c r="AH142" s="6">
        <v>35818.480000000003</v>
      </c>
      <c r="AI142" s="5" t="s">
        <v>280</v>
      </c>
      <c r="AJ142" s="10">
        <v>45981</v>
      </c>
      <c r="AK142" s="5" t="s">
        <v>654</v>
      </c>
      <c r="AL142" s="5" t="s">
        <v>79</v>
      </c>
      <c r="AM142" s="5">
        <v>1619409</v>
      </c>
      <c r="AN142" s="5" t="s">
        <v>80</v>
      </c>
      <c r="AO142" s="5">
        <v>1094010</v>
      </c>
      <c r="AP142" s="5" t="s">
        <v>81</v>
      </c>
      <c r="AQ142" s="5" t="s">
        <v>64</v>
      </c>
      <c r="AR142" s="5" t="s">
        <v>207</v>
      </c>
      <c r="AS142" s="5"/>
      <c r="AT142" s="5"/>
      <c r="AU142" s="5"/>
      <c r="AV142" s="5"/>
      <c r="AW142" s="8"/>
      <c r="AX142" t="s">
        <v>1135</v>
      </c>
      <c r="AY142" t="s">
        <v>2152</v>
      </c>
    </row>
    <row r="143" spans="1:51" x14ac:dyDescent="0.35">
      <c r="A143" s="4" t="s">
        <v>441</v>
      </c>
      <c r="B143" s="5" t="s">
        <v>441</v>
      </c>
      <c r="C143" s="5" t="s">
        <v>641</v>
      </c>
      <c r="D143" s="5" t="s">
        <v>50</v>
      </c>
      <c r="E143" s="5" t="s">
        <v>51</v>
      </c>
      <c r="F143" s="5" t="s">
        <v>558</v>
      </c>
      <c r="G143" s="5" t="s">
        <v>53</v>
      </c>
      <c r="H143" s="5" t="s">
        <v>54</v>
      </c>
      <c r="I143" s="5" t="s">
        <v>659</v>
      </c>
      <c r="J143" s="5" t="s">
        <v>56</v>
      </c>
      <c r="K143" s="5" t="s">
        <v>57</v>
      </c>
      <c r="L143" s="5" t="s">
        <v>58</v>
      </c>
      <c r="M143" s="5" t="s">
        <v>59</v>
      </c>
      <c r="N143" s="5" t="s">
        <v>60</v>
      </c>
      <c r="O143" s="5" t="s">
        <v>60</v>
      </c>
      <c r="P143" s="5" t="s">
        <v>61</v>
      </c>
      <c r="Q143" s="5" t="s">
        <v>62</v>
      </c>
      <c r="R143" s="5" t="s">
        <v>63</v>
      </c>
      <c r="S143" s="5" t="s">
        <v>64</v>
      </c>
      <c r="T143" s="5" t="s">
        <v>65</v>
      </c>
      <c r="U143" s="5" t="s">
        <v>66</v>
      </c>
      <c r="V143" s="5" t="s">
        <v>660</v>
      </c>
      <c r="W143" s="5" t="s">
        <v>661</v>
      </c>
      <c r="X143" s="5" t="s">
        <v>207</v>
      </c>
      <c r="Y143" s="5" t="s">
        <v>662</v>
      </c>
      <c r="Z143" s="5" t="s">
        <v>71</v>
      </c>
      <c r="AA143" s="5" t="s">
        <v>87</v>
      </c>
      <c r="AB143" s="5" t="s">
        <v>88</v>
      </c>
      <c r="AC143" s="5" t="s">
        <v>89</v>
      </c>
      <c r="AD143" s="5" t="s">
        <v>75</v>
      </c>
      <c r="AE143" s="5" t="s">
        <v>243</v>
      </c>
      <c r="AF143" s="6">
        <v>4326</v>
      </c>
      <c r="AG143" s="7">
        <v>1</v>
      </c>
      <c r="AH143" s="6">
        <v>4326</v>
      </c>
      <c r="AI143" s="5" t="s">
        <v>118</v>
      </c>
      <c r="AJ143" s="10">
        <v>45981</v>
      </c>
      <c r="AK143" s="5" t="s">
        <v>663</v>
      </c>
      <c r="AL143" s="5" t="s">
        <v>79</v>
      </c>
      <c r="AM143" s="5">
        <v>1619409</v>
      </c>
      <c r="AN143" s="5" t="s">
        <v>80</v>
      </c>
      <c r="AO143" s="5">
        <v>1094010</v>
      </c>
      <c r="AP143" s="5" t="s">
        <v>81</v>
      </c>
      <c r="AQ143" s="5" t="s">
        <v>64</v>
      </c>
      <c r="AR143" s="5" t="s">
        <v>207</v>
      </c>
      <c r="AS143" s="5"/>
      <c r="AT143" s="5"/>
      <c r="AU143" s="5"/>
      <c r="AV143" s="5"/>
      <c r="AW143" s="8"/>
      <c r="AX143" t="s">
        <v>1135</v>
      </c>
      <c r="AY143" t="s">
        <v>2152</v>
      </c>
    </row>
    <row r="144" spans="1:51" x14ac:dyDescent="0.35">
      <c r="A144" s="4" t="s">
        <v>441</v>
      </c>
      <c r="B144" s="5" t="s">
        <v>441</v>
      </c>
      <c r="C144" s="5" t="s">
        <v>641</v>
      </c>
      <c r="D144" s="5" t="s">
        <v>50</v>
      </c>
      <c r="E144" s="5" t="s">
        <v>51</v>
      </c>
      <c r="F144" s="5" t="s">
        <v>558</v>
      </c>
      <c r="G144" s="5" t="s">
        <v>53</v>
      </c>
      <c r="H144" s="5" t="s">
        <v>54</v>
      </c>
      <c r="I144" s="5" t="s">
        <v>664</v>
      </c>
      <c r="J144" s="5" t="s">
        <v>56</v>
      </c>
      <c r="K144" s="5" t="s">
        <v>57</v>
      </c>
      <c r="L144" s="5" t="s">
        <v>58</v>
      </c>
      <c r="M144" s="5" t="s">
        <v>59</v>
      </c>
      <c r="N144" s="5" t="s">
        <v>60</v>
      </c>
      <c r="O144" s="5" t="s">
        <v>60</v>
      </c>
      <c r="P144" s="5" t="s">
        <v>61</v>
      </c>
      <c r="Q144" s="5" t="s">
        <v>62</v>
      </c>
      <c r="R144" s="5" t="s">
        <v>63</v>
      </c>
      <c r="S144" s="5" t="s">
        <v>64</v>
      </c>
      <c r="T144" s="5" t="s">
        <v>65</v>
      </c>
      <c r="U144" s="5" t="s">
        <v>66</v>
      </c>
      <c r="V144" s="5" t="s">
        <v>498</v>
      </c>
      <c r="W144" s="5" t="s">
        <v>510</v>
      </c>
      <c r="X144" s="5" t="s">
        <v>95</v>
      </c>
      <c r="Y144" s="5" t="s">
        <v>500</v>
      </c>
      <c r="Z144" s="5" t="s">
        <v>71</v>
      </c>
      <c r="AA144" s="5" t="s">
        <v>87</v>
      </c>
      <c r="AB144" s="5" t="s">
        <v>88</v>
      </c>
      <c r="AC144" s="5" t="s">
        <v>89</v>
      </c>
      <c r="AD144" s="5" t="s">
        <v>75</v>
      </c>
      <c r="AE144" s="5" t="s">
        <v>124</v>
      </c>
      <c r="AF144" s="6">
        <v>4326</v>
      </c>
      <c r="AG144" s="7">
        <v>1</v>
      </c>
      <c r="AH144" s="6">
        <v>4326</v>
      </c>
      <c r="AI144" s="5" t="s">
        <v>118</v>
      </c>
      <c r="AJ144" s="10">
        <v>45981</v>
      </c>
      <c r="AK144" s="5" t="s">
        <v>665</v>
      </c>
      <c r="AL144" s="5" t="s">
        <v>79</v>
      </c>
      <c r="AM144" s="5">
        <v>1619409</v>
      </c>
      <c r="AN144" s="5" t="s">
        <v>80</v>
      </c>
      <c r="AO144" s="5">
        <v>1094010</v>
      </c>
      <c r="AP144" s="5" t="s">
        <v>81</v>
      </c>
      <c r="AQ144" s="5" t="s">
        <v>64</v>
      </c>
      <c r="AR144" s="5" t="s">
        <v>95</v>
      </c>
      <c r="AS144" s="5"/>
      <c r="AT144" s="5"/>
      <c r="AU144" s="5"/>
      <c r="AV144" s="5"/>
      <c r="AW144" s="8"/>
      <c r="AX144" t="s">
        <v>1135</v>
      </c>
      <c r="AY144" t="s">
        <v>2152</v>
      </c>
    </row>
    <row r="145" spans="1:51" x14ac:dyDescent="0.35">
      <c r="A145" s="4" t="s">
        <v>441</v>
      </c>
      <c r="B145" s="5" t="s">
        <v>441</v>
      </c>
      <c r="C145" s="5" t="s">
        <v>641</v>
      </c>
      <c r="D145" s="5" t="s">
        <v>50</v>
      </c>
      <c r="E145" s="5" t="s">
        <v>51</v>
      </c>
      <c r="F145" s="5" t="s">
        <v>558</v>
      </c>
      <c r="G145" s="5" t="s">
        <v>53</v>
      </c>
      <c r="H145" s="5" t="s">
        <v>54</v>
      </c>
      <c r="I145" s="5" t="s">
        <v>666</v>
      </c>
      <c r="J145" s="5" t="s">
        <v>56</v>
      </c>
      <c r="K145" s="5" t="s">
        <v>57</v>
      </c>
      <c r="L145" s="5" t="s">
        <v>58</v>
      </c>
      <c r="M145" s="5" t="s">
        <v>59</v>
      </c>
      <c r="N145" s="5" t="s">
        <v>60</v>
      </c>
      <c r="O145" s="5" t="s">
        <v>60</v>
      </c>
      <c r="P145" s="5" t="s">
        <v>61</v>
      </c>
      <c r="Q145" s="5" t="s">
        <v>62</v>
      </c>
      <c r="R145" s="5" t="s">
        <v>63</v>
      </c>
      <c r="S145" s="5" t="s">
        <v>64</v>
      </c>
      <c r="T145" s="5" t="s">
        <v>65</v>
      </c>
      <c r="U145" s="5" t="s">
        <v>66</v>
      </c>
      <c r="V145" s="5" t="s">
        <v>205</v>
      </c>
      <c r="W145" s="5" t="s">
        <v>667</v>
      </c>
      <c r="X145" s="5" t="s">
        <v>459</v>
      </c>
      <c r="Y145" s="5" t="s">
        <v>208</v>
      </c>
      <c r="Z145" s="5" t="s">
        <v>71</v>
      </c>
      <c r="AA145" s="5" t="s">
        <v>72</v>
      </c>
      <c r="AB145" s="5" t="s">
        <v>73</v>
      </c>
      <c r="AC145" s="5" t="s">
        <v>74</v>
      </c>
      <c r="AD145" s="5" t="s">
        <v>75</v>
      </c>
      <c r="AE145" s="5" t="s">
        <v>76</v>
      </c>
      <c r="AF145" s="6">
        <v>35203.86</v>
      </c>
      <c r="AG145" s="7">
        <v>1</v>
      </c>
      <c r="AH145" s="6">
        <v>35203.86</v>
      </c>
      <c r="AI145" s="5" t="s">
        <v>668</v>
      </c>
      <c r="AJ145" s="10">
        <v>45981</v>
      </c>
      <c r="AK145" s="5" t="s">
        <v>669</v>
      </c>
      <c r="AL145" s="5" t="s">
        <v>79</v>
      </c>
      <c r="AM145" s="5">
        <v>1619409</v>
      </c>
      <c r="AN145" s="5" t="s">
        <v>80</v>
      </c>
      <c r="AO145" s="5">
        <v>1094010</v>
      </c>
      <c r="AP145" s="5" t="s">
        <v>81</v>
      </c>
      <c r="AQ145" s="5" t="s">
        <v>64</v>
      </c>
      <c r="AR145" s="5" t="s">
        <v>459</v>
      </c>
      <c r="AS145" s="5"/>
      <c r="AT145" s="5"/>
      <c r="AU145" s="5"/>
      <c r="AV145" s="5"/>
      <c r="AW145" s="8"/>
      <c r="AX145" t="s">
        <v>1135</v>
      </c>
      <c r="AY145" t="s">
        <v>2152</v>
      </c>
    </row>
    <row r="146" spans="1:51" x14ac:dyDescent="0.35">
      <c r="A146" s="4" t="s">
        <v>441</v>
      </c>
      <c r="B146" s="5" t="s">
        <v>441</v>
      </c>
      <c r="C146" s="5" t="s">
        <v>641</v>
      </c>
      <c r="D146" s="5" t="s">
        <v>50</v>
      </c>
      <c r="E146" s="5" t="s">
        <v>51</v>
      </c>
      <c r="F146" s="5" t="s">
        <v>558</v>
      </c>
      <c r="G146" s="5" t="s">
        <v>53</v>
      </c>
      <c r="H146" s="5" t="s">
        <v>54</v>
      </c>
      <c r="I146" s="5" t="s">
        <v>666</v>
      </c>
      <c r="J146" s="5" t="s">
        <v>56</v>
      </c>
      <c r="K146" s="5" t="s">
        <v>57</v>
      </c>
      <c r="L146" s="5" t="s">
        <v>58</v>
      </c>
      <c r="M146" s="5" t="s">
        <v>59</v>
      </c>
      <c r="N146" s="5" t="s">
        <v>60</v>
      </c>
      <c r="O146" s="5" t="s">
        <v>60</v>
      </c>
      <c r="P146" s="5" t="s">
        <v>61</v>
      </c>
      <c r="Q146" s="5" t="s">
        <v>62</v>
      </c>
      <c r="R146" s="5" t="s">
        <v>63</v>
      </c>
      <c r="S146" s="5" t="s">
        <v>64</v>
      </c>
      <c r="T146" s="5" t="s">
        <v>65</v>
      </c>
      <c r="U146" s="5" t="s">
        <v>66</v>
      </c>
      <c r="V146" s="5" t="s">
        <v>333</v>
      </c>
      <c r="W146" s="5" t="s">
        <v>670</v>
      </c>
      <c r="X146" s="5" t="s">
        <v>85</v>
      </c>
      <c r="Y146" s="5" t="s">
        <v>335</v>
      </c>
      <c r="Z146" s="5" t="s">
        <v>71</v>
      </c>
      <c r="AA146" s="5" t="s">
        <v>72</v>
      </c>
      <c r="AB146" s="5" t="s">
        <v>73</v>
      </c>
      <c r="AC146" s="5" t="s">
        <v>74</v>
      </c>
      <c r="AD146" s="5" t="s">
        <v>75</v>
      </c>
      <c r="AE146" s="5" t="s">
        <v>336</v>
      </c>
      <c r="AF146" s="6">
        <v>35818.480000000003</v>
      </c>
      <c r="AG146" s="7">
        <v>1</v>
      </c>
      <c r="AH146" s="6">
        <v>35818.480000000003</v>
      </c>
      <c r="AI146" s="5" t="s">
        <v>323</v>
      </c>
      <c r="AJ146" s="10">
        <v>45981</v>
      </c>
      <c r="AK146" s="5" t="s">
        <v>669</v>
      </c>
      <c r="AL146" s="5" t="s">
        <v>79</v>
      </c>
      <c r="AM146" s="5">
        <v>1619409</v>
      </c>
      <c r="AN146" s="5" t="s">
        <v>80</v>
      </c>
      <c r="AO146" s="5">
        <v>1094010</v>
      </c>
      <c r="AP146" s="5" t="s">
        <v>81</v>
      </c>
      <c r="AQ146" s="5" t="s">
        <v>64</v>
      </c>
      <c r="AR146" s="5" t="s">
        <v>85</v>
      </c>
      <c r="AS146" s="5"/>
      <c r="AT146" s="5"/>
      <c r="AU146" s="5"/>
      <c r="AV146" s="5"/>
      <c r="AW146" s="8"/>
      <c r="AX146" t="s">
        <v>1135</v>
      </c>
      <c r="AY146" t="s">
        <v>2152</v>
      </c>
    </row>
    <row r="147" spans="1:51" x14ac:dyDescent="0.35">
      <c r="A147" s="4" t="s">
        <v>441</v>
      </c>
      <c r="B147" s="5" t="s">
        <v>441</v>
      </c>
      <c r="C147" s="5" t="s">
        <v>641</v>
      </c>
      <c r="D147" s="5" t="s">
        <v>50</v>
      </c>
      <c r="E147" s="5" t="s">
        <v>51</v>
      </c>
      <c r="F147" s="5" t="s">
        <v>558</v>
      </c>
      <c r="G147" s="5" t="s">
        <v>53</v>
      </c>
      <c r="H147" s="5" t="s">
        <v>54</v>
      </c>
      <c r="I147" s="5" t="s">
        <v>671</v>
      </c>
      <c r="J147" s="5" t="s">
        <v>56</v>
      </c>
      <c r="K147" s="5" t="s">
        <v>57</v>
      </c>
      <c r="L147" s="5" t="s">
        <v>58</v>
      </c>
      <c r="M147" s="5" t="s">
        <v>59</v>
      </c>
      <c r="N147" s="5" t="s">
        <v>60</v>
      </c>
      <c r="O147" s="5" t="s">
        <v>60</v>
      </c>
      <c r="P147" s="5" t="s">
        <v>61</v>
      </c>
      <c r="Q147" s="5" t="s">
        <v>62</v>
      </c>
      <c r="R147" s="5" t="s">
        <v>63</v>
      </c>
      <c r="S147" s="5" t="s">
        <v>64</v>
      </c>
      <c r="T147" s="5" t="s">
        <v>65</v>
      </c>
      <c r="U147" s="5" t="s">
        <v>66</v>
      </c>
      <c r="V147" s="5" t="s">
        <v>342</v>
      </c>
      <c r="W147" s="5" t="s">
        <v>672</v>
      </c>
      <c r="X147" s="5" t="s">
        <v>110</v>
      </c>
      <c r="Y147" s="5" t="s">
        <v>344</v>
      </c>
      <c r="Z147" s="5" t="s">
        <v>71</v>
      </c>
      <c r="AA147" s="5" t="s">
        <v>72</v>
      </c>
      <c r="AB147" s="5" t="s">
        <v>73</v>
      </c>
      <c r="AC147" s="5" t="s">
        <v>74</v>
      </c>
      <c r="AD147" s="5" t="s">
        <v>75</v>
      </c>
      <c r="AE147" s="5" t="s">
        <v>201</v>
      </c>
      <c r="AF147" s="6">
        <v>35203.86</v>
      </c>
      <c r="AG147" s="7">
        <v>1</v>
      </c>
      <c r="AH147" s="6">
        <v>35203.86</v>
      </c>
      <c r="AI147" s="5" t="s">
        <v>673</v>
      </c>
      <c r="AJ147" s="10">
        <v>45981</v>
      </c>
      <c r="AK147" s="5" t="s">
        <v>674</v>
      </c>
      <c r="AL147" s="5" t="s">
        <v>79</v>
      </c>
      <c r="AM147" s="5">
        <v>1619409</v>
      </c>
      <c r="AN147" s="5" t="s">
        <v>80</v>
      </c>
      <c r="AO147" s="5">
        <v>1094010</v>
      </c>
      <c r="AP147" s="5" t="s">
        <v>81</v>
      </c>
      <c r="AQ147" s="5" t="s">
        <v>64</v>
      </c>
      <c r="AR147" s="5" t="s">
        <v>110</v>
      </c>
      <c r="AS147" s="5"/>
      <c r="AT147" s="5"/>
      <c r="AU147" s="5"/>
      <c r="AV147" s="5"/>
      <c r="AW147" s="8"/>
      <c r="AX147" t="s">
        <v>1135</v>
      </c>
      <c r="AY147" t="s">
        <v>2152</v>
      </c>
    </row>
    <row r="148" spans="1:51" x14ac:dyDescent="0.35">
      <c r="A148" s="4" t="s">
        <v>441</v>
      </c>
      <c r="B148" s="5" t="s">
        <v>441</v>
      </c>
      <c r="C148" s="5" t="s">
        <v>675</v>
      </c>
      <c r="D148" s="5" t="s">
        <v>50</v>
      </c>
      <c r="E148" s="5" t="s">
        <v>51</v>
      </c>
      <c r="F148" s="5" t="s">
        <v>49</v>
      </c>
      <c r="G148" s="5" t="s">
        <v>53</v>
      </c>
      <c r="H148" s="5" t="s">
        <v>54</v>
      </c>
      <c r="I148" s="5" t="s">
        <v>676</v>
      </c>
      <c r="J148" s="5" t="s">
        <v>56</v>
      </c>
      <c r="K148" s="5" t="s">
        <v>57</v>
      </c>
      <c r="L148" s="5" t="s">
        <v>58</v>
      </c>
      <c r="M148" s="5" t="s">
        <v>59</v>
      </c>
      <c r="N148" s="5" t="s">
        <v>60</v>
      </c>
      <c r="O148" s="5" t="s">
        <v>60</v>
      </c>
      <c r="P148" s="5" t="s">
        <v>61</v>
      </c>
      <c r="Q148" s="5" t="s">
        <v>62</v>
      </c>
      <c r="R148" s="5" t="s">
        <v>63</v>
      </c>
      <c r="S148" s="5" t="s">
        <v>64</v>
      </c>
      <c r="T148" s="5" t="s">
        <v>65</v>
      </c>
      <c r="U148" s="5" t="s">
        <v>66</v>
      </c>
      <c r="V148" s="5" t="s">
        <v>516</v>
      </c>
      <c r="W148" s="5" t="s">
        <v>677</v>
      </c>
      <c r="X148" s="5" t="s">
        <v>350</v>
      </c>
      <c r="Y148" s="5" t="s">
        <v>519</v>
      </c>
      <c r="Z148" s="5" t="s">
        <v>71</v>
      </c>
      <c r="AA148" s="5" t="s">
        <v>87</v>
      </c>
      <c r="AB148" s="5" t="s">
        <v>104</v>
      </c>
      <c r="AC148" s="5" t="s">
        <v>105</v>
      </c>
      <c r="AD148" s="5" t="s">
        <v>75</v>
      </c>
      <c r="AE148" s="5" t="s">
        <v>263</v>
      </c>
      <c r="AF148" s="6">
        <v>2920</v>
      </c>
      <c r="AG148" s="7">
        <v>1</v>
      </c>
      <c r="AH148" s="6">
        <v>2920</v>
      </c>
      <c r="AI148" s="5" t="s">
        <v>154</v>
      </c>
      <c r="AJ148" s="10">
        <v>45982</v>
      </c>
      <c r="AK148" s="5" t="s">
        <v>678</v>
      </c>
      <c r="AL148" s="5" t="s">
        <v>79</v>
      </c>
      <c r="AM148" s="5">
        <v>1619409</v>
      </c>
      <c r="AN148" s="5" t="s">
        <v>80</v>
      </c>
      <c r="AO148" s="5">
        <v>1094010</v>
      </c>
      <c r="AP148" s="5" t="s">
        <v>81</v>
      </c>
      <c r="AQ148" s="5" t="s">
        <v>64</v>
      </c>
      <c r="AR148" s="5" t="s">
        <v>350</v>
      </c>
      <c r="AS148" s="5"/>
      <c r="AT148" s="5"/>
      <c r="AU148" s="5"/>
      <c r="AV148" s="5"/>
      <c r="AW148" s="8"/>
      <c r="AX148" t="s">
        <v>1135</v>
      </c>
      <c r="AY148" t="s">
        <v>2152</v>
      </c>
    </row>
    <row r="149" spans="1:51" x14ac:dyDescent="0.35">
      <c r="A149" s="4" t="s">
        <v>441</v>
      </c>
      <c r="B149" s="5" t="s">
        <v>441</v>
      </c>
      <c r="C149" s="5" t="s">
        <v>675</v>
      </c>
      <c r="D149" s="5" t="s">
        <v>50</v>
      </c>
      <c r="E149" s="5" t="s">
        <v>51</v>
      </c>
      <c r="F149" s="5" t="s">
        <v>49</v>
      </c>
      <c r="G149" s="5" t="s">
        <v>53</v>
      </c>
      <c r="H149" s="5" t="s">
        <v>54</v>
      </c>
      <c r="I149" s="5" t="s">
        <v>676</v>
      </c>
      <c r="J149" s="5" t="s">
        <v>56</v>
      </c>
      <c r="K149" s="5" t="s">
        <v>57</v>
      </c>
      <c r="L149" s="5" t="s">
        <v>58</v>
      </c>
      <c r="M149" s="5" t="s">
        <v>59</v>
      </c>
      <c r="N149" s="5" t="s">
        <v>60</v>
      </c>
      <c r="O149" s="5" t="s">
        <v>60</v>
      </c>
      <c r="P149" s="5" t="s">
        <v>61</v>
      </c>
      <c r="Q149" s="5" t="s">
        <v>62</v>
      </c>
      <c r="R149" s="5" t="s">
        <v>63</v>
      </c>
      <c r="S149" s="5" t="s">
        <v>64</v>
      </c>
      <c r="T149" s="5" t="s">
        <v>65</v>
      </c>
      <c r="U149" s="5" t="s">
        <v>66</v>
      </c>
      <c r="V149" s="5" t="s">
        <v>363</v>
      </c>
      <c r="W149" s="5" t="s">
        <v>364</v>
      </c>
      <c r="X149" s="5" t="s">
        <v>207</v>
      </c>
      <c r="Y149" s="5" t="s">
        <v>365</v>
      </c>
      <c r="Z149" s="5" t="s">
        <v>71</v>
      </c>
      <c r="AA149" s="5" t="s">
        <v>366</v>
      </c>
      <c r="AB149" s="5" t="s">
        <v>367</v>
      </c>
      <c r="AC149" s="5" t="s">
        <v>368</v>
      </c>
      <c r="AD149" s="5" t="s">
        <v>75</v>
      </c>
      <c r="AE149" s="5" t="s">
        <v>369</v>
      </c>
      <c r="AF149" s="6">
        <v>35226</v>
      </c>
      <c r="AG149" s="7">
        <v>1</v>
      </c>
      <c r="AH149" s="6">
        <v>35226</v>
      </c>
      <c r="AI149" s="5" t="s">
        <v>590</v>
      </c>
      <c r="AJ149" s="10">
        <v>45982</v>
      </c>
      <c r="AK149" s="5" t="s">
        <v>678</v>
      </c>
      <c r="AL149" s="5" t="s">
        <v>79</v>
      </c>
      <c r="AM149" s="5">
        <v>1619409</v>
      </c>
      <c r="AN149" s="5" t="s">
        <v>80</v>
      </c>
      <c r="AO149" s="5">
        <v>1094010</v>
      </c>
      <c r="AP149" s="5" t="s">
        <v>81</v>
      </c>
      <c r="AQ149" s="5" t="s">
        <v>64</v>
      </c>
      <c r="AR149" s="5" t="s">
        <v>207</v>
      </c>
      <c r="AS149" s="5"/>
      <c r="AT149" s="5"/>
      <c r="AU149" s="5"/>
      <c r="AV149" s="5"/>
      <c r="AW149" s="8"/>
      <c r="AX149" t="s">
        <v>1135</v>
      </c>
      <c r="AY149" t="s">
        <v>2152</v>
      </c>
    </row>
    <row r="150" spans="1:51" x14ac:dyDescent="0.35">
      <c r="A150" s="4" t="s">
        <v>441</v>
      </c>
      <c r="B150" s="5" t="s">
        <v>441</v>
      </c>
      <c r="C150" s="5" t="s">
        <v>675</v>
      </c>
      <c r="D150" s="5" t="s">
        <v>50</v>
      </c>
      <c r="E150" s="5" t="s">
        <v>51</v>
      </c>
      <c r="F150" s="5" t="s">
        <v>49</v>
      </c>
      <c r="G150" s="5" t="s">
        <v>53</v>
      </c>
      <c r="H150" s="5" t="s">
        <v>54</v>
      </c>
      <c r="I150" s="5" t="s">
        <v>679</v>
      </c>
      <c r="J150" s="5" t="s">
        <v>56</v>
      </c>
      <c r="K150" s="5" t="s">
        <v>57</v>
      </c>
      <c r="L150" s="5" t="s">
        <v>58</v>
      </c>
      <c r="M150" s="5" t="s">
        <v>59</v>
      </c>
      <c r="N150" s="5" t="s">
        <v>60</v>
      </c>
      <c r="O150" s="5" t="s">
        <v>60</v>
      </c>
      <c r="P150" s="5" t="s">
        <v>61</v>
      </c>
      <c r="Q150" s="5" t="s">
        <v>62</v>
      </c>
      <c r="R150" s="5" t="s">
        <v>63</v>
      </c>
      <c r="S150" s="5" t="s">
        <v>64</v>
      </c>
      <c r="T150" s="5" t="s">
        <v>65</v>
      </c>
      <c r="U150" s="5" t="s">
        <v>66</v>
      </c>
      <c r="V150" s="5" t="s">
        <v>166</v>
      </c>
      <c r="W150" s="5" t="s">
        <v>167</v>
      </c>
      <c r="X150" s="5" t="s">
        <v>168</v>
      </c>
      <c r="Y150" s="5" t="s">
        <v>169</v>
      </c>
      <c r="Z150" s="5" t="s">
        <v>71</v>
      </c>
      <c r="AA150" s="5" t="s">
        <v>87</v>
      </c>
      <c r="AB150" s="5" t="s">
        <v>104</v>
      </c>
      <c r="AC150" s="5" t="s">
        <v>105</v>
      </c>
      <c r="AD150" s="5" t="s">
        <v>75</v>
      </c>
      <c r="AE150" s="5" t="s">
        <v>170</v>
      </c>
      <c r="AF150" s="6">
        <v>2920</v>
      </c>
      <c r="AG150" s="7">
        <v>1</v>
      </c>
      <c r="AH150" s="6">
        <v>2920</v>
      </c>
      <c r="AI150" s="5" t="s">
        <v>171</v>
      </c>
      <c r="AJ150" s="10">
        <v>45982</v>
      </c>
      <c r="AK150" s="5" t="s">
        <v>680</v>
      </c>
      <c r="AL150" s="5" t="s">
        <v>79</v>
      </c>
      <c r="AM150" s="5">
        <v>1619409</v>
      </c>
      <c r="AN150" s="5" t="s">
        <v>80</v>
      </c>
      <c r="AO150" s="5">
        <v>1094010</v>
      </c>
      <c r="AP150" s="5" t="s">
        <v>81</v>
      </c>
      <c r="AQ150" s="5" t="s">
        <v>64</v>
      </c>
      <c r="AR150" s="5" t="s">
        <v>168</v>
      </c>
      <c r="AS150" s="5"/>
      <c r="AT150" s="5"/>
      <c r="AU150" s="5"/>
      <c r="AV150" s="5"/>
      <c r="AW150" s="8"/>
      <c r="AX150" t="s">
        <v>1135</v>
      </c>
      <c r="AY150" t="s">
        <v>2152</v>
      </c>
    </row>
    <row r="151" spans="1:51" x14ac:dyDescent="0.35">
      <c r="A151" s="4" t="s">
        <v>441</v>
      </c>
      <c r="B151" s="5" t="s">
        <v>441</v>
      </c>
      <c r="C151" s="5" t="s">
        <v>675</v>
      </c>
      <c r="D151" s="5" t="s">
        <v>50</v>
      </c>
      <c r="E151" s="5" t="s">
        <v>51</v>
      </c>
      <c r="F151" s="5" t="s">
        <v>49</v>
      </c>
      <c r="G151" s="5" t="s">
        <v>53</v>
      </c>
      <c r="H151" s="5" t="s">
        <v>54</v>
      </c>
      <c r="I151" s="5" t="s">
        <v>679</v>
      </c>
      <c r="J151" s="5" t="s">
        <v>56</v>
      </c>
      <c r="K151" s="5" t="s">
        <v>57</v>
      </c>
      <c r="L151" s="5" t="s">
        <v>58</v>
      </c>
      <c r="M151" s="5" t="s">
        <v>59</v>
      </c>
      <c r="N151" s="5" t="s">
        <v>60</v>
      </c>
      <c r="O151" s="5" t="s">
        <v>60</v>
      </c>
      <c r="P151" s="5" t="s">
        <v>61</v>
      </c>
      <c r="Q151" s="5" t="s">
        <v>62</v>
      </c>
      <c r="R151" s="5" t="s">
        <v>63</v>
      </c>
      <c r="S151" s="5" t="s">
        <v>64</v>
      </c>
      <c r="T151" s="5" t="s">
        <v>65</v>
      </c>
      <c r="U151" s="5" t="s">
        <v>66</v>
      </c>
      <c r="V151" s="5" t="s">
        <v>626</v>
      </c>
      <c r="W151" s="5" t="s">
        <v>627</v>
      </c>
      <c r="X151" s="5" t="s">
        <v>95</v>
      </c>
      <c r="Y151" s="5" t="s">
        <v>628</v>
      </c>
      <c r="Z151" s="5" t="s">
        <v>71</v>
      </c>
      <c r="AA151" s="5" t="s">
        <v>87</v>
      </c>
      <c r="AB151" s="5" t="s">
        <v>88</v>
      </c>
      <c r="AC151" s="5" t="s">
        <v>89</v>
      </c>
      <c r="AD151" s="5" t="s">
        <v>75</v>
      </c>
      <c r="AE151" s="5" t="s">
        <v>90</v>
      </c>
      <c r="AF151" s="6">
        <v>4326</v>
      </c>
      <c r="AG151" s="7">
        <v>1</v>
      </c>
      <c r="AH151" s="6">
        <v>4326</v>
      </c>
      <c r="AI151" s="5" t="s">
        <v>118</v>
      </c>
      <c r="AJ151" s="10">
        <v>45982</v>
      </c>
      <c r="AK151" s="5" t="s">
        <v>680</v>
      </c>
      <c r="AL151" s="5" t="s">
        <v>79</v>
      </c>
      <c r="AM151" s="5">
        <v>1619409</v>
      </c>
      <c r="AN151" s="5" t="s">
        <v>80</v>
      </c>
      <c r="AO151" s="5">
        <v>1094010</v>
      </c>
      <c r="AP151" s="5" t="s">
        <v>81</v>
      </c>
      <c r="AQ151" s="5" t="s">
        <v>64</v>
      </c>
      <c r="AR151" s="5" t="s">
        <v>95</v>
      </c>
      <c r="AS151" s="5"/>
      <c r="AT151" s="5"/>
      <c r="AU151" s="5"/>
      <c r="AV151" s="5"/>
      <c r="AW151" s="8"/>
      <c r="AX151" t="s">
        <v>1135</v>
      </c>
      <c r="AY151" t="s">
        <v>2152</v>
      </c>
    </row>
    <row r="152" spans="1:51" x14ac:dyDescent="0.35">
      <c r="A152" s="4" t="s">
        <v>441</v>
      </c>
      <c r="B152" s="5" t="s">
        <v>441</v>
      </c>
      <c r="C152" s="5" t="s">
        <v>675</v>
      </c>
      <c r="D152" s="5" t="s">
        <v>50</v>
      </c>
      <c r="E152" s="5" t="s">
        <v>51</v>
      </c>
      <c r="F152" s="5" t="s">
        <v>49</v>
      </c>
      <c r="G152" s="5" t="s">
        <v>53</v>
      </c>
      <c r="H152" s="5" t="s">
        <v>54</v>
      </c>
      <c r="I152" s="5" t="s">
        <v>679</v>
      </c>
      <c r="J152" s="5" t="s">
        <v>56</v>
      </c>
      <c r="K152" s="5" t="s">
        <v>57</v>
      </c>
      <c r="L152" s="5" t="s">
        <v>58</v>
      </c>
      <c r="M152" s="5" t="s">
        <v>59</v>
      </c>
      <c r="N152" s="5" t="s">
        <v>60</v>
      </c>
      <c r="O152" s="5" t="s">
        <v>60</v>
      </c>
      <c r="P152" s="5" t="s">
        <v>61</v>
      </c>
      <c r="Q152" s="5" t="s">
        <v>62</v>
      </c>
      <c r="R152" s="5" t="s">
        <v>63</v>
      </c>
      <c r="S152" s="5" t="s">
        <v>64</v>
      </c>
      <c r="T152" s="5" t="s">
        <v>65</v>
      </c>
      <c r="U152" s="5" t="s">
        <v>66</v>
      </c>
      <c r="V152" s="5" t="s">
        <v>601</v>
      </c>
      <c r="W152" s="5" t="s">
        <v>602</v>
      </c>
      <c r="X152" s="5" t="s">
        <v>207</v>
      </c>
      <c r="Y152" s="5" t="s">
        <v>603</v>
      </c>
      <c r="Z152" s="5" t="s">
        <v>71</v>
      </c>
      <c r="AA152" s="5" t="s">
        <v>87</v>
      </c>
      <c r="AB152" s="5" t="s">
        <v>88</v>
      </c>
      <c r="AC152" s="5" t="s">
        <v>89</v>
      </c>
      <c r="AD152" s="5" t="s">
        <v>75</v>
      </c>
      <c r="AE152" s="5" t="s">
        <v>243</v>
      </c>
      <c r="AF152" s="6">
        <v>4326</v>
      </c>
      <c r="AG152" s="7">
        <v>1</v>
      </c>
      <c r="AH152" s="6">
        <v>4326</v>
      </c>
      <c r="AI152" s="5" t="s">
        <v>118</v>
      </c>
      <c r="AJ152" s="10">
        <v>45982</v>
      </c>
      <c r="AK152" s="5" t="s">
        <v>680</v>
      </c>
      <c r="AL152" s="5" t="s">
        <v>79</v>
      </c>
      <c r="AM152" s="5">
        <v>1619409</v>
      </c>
      <c r="AN152" s="5" t="s">
        <v>80</v>
      </c>
      <c r="AO152" s="5">
        <v>1094010</v>
      </c>
      <c r="AP152" s="5" t="s">
        <v>81</v>
      </c>
      <c r="AQ152" s="5" t="s">
        <v>64</v>
      </c>
      <c r="AR152" s="5" t="s">
        <v>207</v>
      </c>
      <c r="AS152" s="5"/>
      <c r="AT152" s="5"/>
      <c r="AU152" s="5"/>
      <c r="AV152" s="5"/>
      <c r="AW152" s="8"/>
      <c r="AX152" t="s">
        <v>1135</v>
      </c>
      <c r="AY152" t="s">
        <v>2152</v>
      </c>
    </row>
    <row r="153" spans="1:51" x14ac:dyDescent="0.35">
      <c r="A153" s="4" t="s">
        <v>441</v>
      </c>
      <c r="B153" s="5" t="s">
        <v>441</v>
      </c>
      <c r="C153" s="5" t="s">
        <v>681</v>
      </c>
      <c r="D153" s="5" t="s">
        <v>50</v>
      </c>
      <c r="E153" s="5" t="s">
        <v>51</v>
      </c>
      <c r="F153" s="5" t="s">
        <v>49</v>
      </c>
      <c r="G153" s="5" t="s">
        <v>53</v>
      </c>
      <c r="H153" s="5" t="s">
        <v>54</v>
      </c>
      <c r="I153" s="5" t="s">
        <v>682</v>
      </c>
      <c r="J153" s="5" t="s">
        <v>56</v>
      </c>
      <c r="K153" s="5" t="s">
        <v>57</v>
      </c>
      <c r="L153" s="5" t="s">
        <v>58</v>
      </c>
      <c r="M153" s="5" t="s">
        <v>59</v>
      </c>
      <c r="N153" s="5" t="s">
        <v>60</v>
      </c>
      <c r="O153" s="5" t="s">
        <v>60</v>
      </c>
      <c r="P153" s="5" t="s">
        <v>61</v>
      </c>
      <c r="Q153" s="5" t="s">
        <v>62</v>
      </c>
      <c r="R153" s="5" t="s">
        <v>63</v>
      </c>
      <c r="S153" s="5" t="s">
        <v>64</v>
      </c>
      <c r="T153" s="5" t="s">
        <v>65</v>
      </c>
      <c r="U153" s="5" t="s">
        <v>66</v>
      </c>
      <c r="V153" s="5" t="s">
        <v>498</v>
      </c>
      <c r="W153" s="5" t="s">
        <v>510</v>
      </c>
      <c r="X153" s="5" t="s">
        <v>95</v>
      </c>
      <c r="Y153" s="5" t="s">
        <v>500</v>
      </c>
      <c r="Z153" s="5" t="s">
        <v>71</v>
      </c>
      <c r="AA153" s="5" t="s">
        <v>87</v>
      </c>
      <c r="AB153" s="5" t="s">
        <v>88</v>
      </c>
      <c r="AC153" s="5" t="s">
        <v>89</v>
      </c>
      <c r="AD153" s="5" t="s">
        <v>75</v>
      </c>
      <c r="AE153" s="5" t="s">
        <v>124</v>
      </c>
      <c r="AF153" s="6">
        <v>4326</v>
      </c>
      <c r="AG153" s="7">
        <v>1</v>
      </c>
      <c r="AH153" s="6">
        <v>4326</v>
      </c>
      <c r="AI153" s="5" t="s">
        <v>118</v>
      </c>
      <c r="AJ153" s="10">
        <v>45983</v>
      </c>
      <c r="AK153" s="5" t="s">
        <v>683</v>
      </c>
      <c r="AL153" s="5" t="s">
        <v>79</v>
      </c>
      <c r="AM153" s="5">
        <v>1619409</v>
      </c>
      <c r="AN153" s="5" t="s">
        <v>80</v>
      </c>
      <c r="AO153" s="5">
        <v>1094010</v>
      </c>
      <c r="AP153" s="5" t="s">
        <v>81</v>
      </c>
      <c r="AQ153" s="5" t="s">
        <v>64</v>
      </c>
      <c r="AR153" s="5" t="s">
        <v>95</v>
      </c>
      <c r="AS153" s="5"/>
      <c r="AT153" s="5"/>
      <c r="AU153" s="5"/>
      <c r="AV153" s="5"/>
      <c r="AW153" s="8"/>
      <c r="AX153" t="s">
        <v>1135</v>
      </c>
      <c r="AY153" t="s">
        <v>2152</v>
      </c>
    </row>
    <row r="154" spans="1:51" x14ac:dyDescent="0.35">
      <c r="A154" s="4" t="s">
        <v>441</v>
      </c>
      <c r="B154" s="5" t="s">
        <v>441</v>
      </c>
      <c r="C154" s="5" t="s">
        <v>681</v>
      </c>
      <c r="D154" s="5" t="s">
        <v>50</v>
      </c>
      <c r="E154" s="5" t="s">
        <v>51</v>
      </c>
      <c r="F154" s="5" t="s">
        <v>49</v>
      </c>
      <c r="G154" s="5" t="s">
        <v>53</v>
      </c>
      <c r="H154" s="5" t="s">
        <v>54</v>
      </c>
      <c r="I154" s="5" t="s">
        <v>682</v>
      </c>
      <c r="J154" s="5" t="s">
        <v>56</v>
      </c>
      <c r="K154" s="5" t="s">
        <v>57</v>
      </c>
      <c r="L154" s="5" t="s">
        <v>58</v>
      </c>
      <c r="M154" s="5" t="s">
        <v>59</v>
      </c>
      <c r="N154" s="5" t="s">
        <v>60</v>
      </c>
      <c r="O154" s="5" t="s">
        <v>60</v>
      </c>
      <c r="P154" s="5" t="s">
        <v>61</v>
      </c>
      <c r="Q154" s="5" t="s">
        <v>62</v>
      </c>
      <c r="R154" s="5" t="s">
        <v>63</v>
      </c>
      <c r="S154" s="5" t="s">
        <v>64</v>
      </c>
      <c r="T154" s="5" t="s">
        <v>65</v>
      </c>
      <c r="U154" s="5" t="s">
        <v>66</v>
      </c>
      <c r="V154" s="5" t="s">
        <v>121</v>
      </c>
      <c r="W154" s="5" t="s">
        <v>122</v>
      </c>
      <c r="X154" s="5" t="s">
        <v>95</v>
      </c>
      <c r="Y154" s="5" t="s">
        <v>123</v>
      </c>
      <c r="Z154" s="5" t="s">
        <v>71</v>
      </c>
      <c r="AA154" s="5" t="s">
        <v>87</v>
      </c>
      <c r="AB154" s="5" t="s">
        <v>88</v>
      </c>
      <c r="AC154" s="5" t="s">
        <v>89</v>
      </c>
      <c r="AD154" s="5" t="s">
        <v>75</v>
      </c>
      <c r="AE154" s="5" t="s">
        <v>124</v>
      </c>
      <c r="AF154" s="6">
        <v>4326</v>
      </c>
      <c r="AG154" s="7">
        <v>1</v>
      </c>
      <c r="AH154" s="6">
        <v>4326</v>
      </c>
      <c r="AI154" s="5" t="s">
        <v>581</v>
      </c>
      <c r="AJ154" s="10">
        <v>45983</v>
      </c>
      <c r="AK154" s="5" t="s">
        <v>683</v>
      </c>
      <c r="AL154" s="5" t="s">
        <v>79</v>
      </c>
      <c r="AM154" s="5">
        <v>1619409</v>
      </c>
      <c r="AN154" s="5" t="s">
        <v>80</v>
      </c>
      <c r="AO154" s="5">
        <v>1094010</v>
      </c>
      <c r="AP154" s="5" t="s">
        <v>81</v>
      </c>
      <c r="AQ154" s="5" t="s">
        <v>64</v>
      </c>
      <c r="AR154" s="5" t="s">
        <v>95</v>
      </c>
      <c r="AS154" s="5"/>
      <c r="AT154" s="5"/>
      <c r="AU154" s="5"/>
      <c r="AV154" s="5"/>
      <c r="AW154" s="8"/>
      <c r="AX154" t="s">
        <v>1135</v>
      </c>
      <c r="AY154" t="s">
        <v>2152</v>
      </c>
    </row>
    <row r="155" spans="1:51" x14ac:dyDescent="0.35">
      <c r="A155" s="4" t="s">
        <v>441</v>
      </c>
      <c r="B155" s="5" t="s">
        <v>441</v>
      </c>
      <c r="C155" s="5" t="s">
        <v>681</v>
      </c>
      <c r="D155" s="5" t="s">
        <v>50</v>
      </c>
      <c r="E155" s="5" t="s">
        <v>51</v>
      </c>
      <c r="F155" s="5" t="s">
        <v>49</v>
      </c>
      <c r="G155" s="5" t="s">
        <v>53</v>
      </c>
      <c r="H155" s="5" t="s">
        <v>54</v>
      </c>
      <c r="I155" s="5" t="s">
        <v>682</v>
      </c>
      <c r="J155" s="5" t="s">
        <v>56</v>
      </c>
      <c r="K155" s="5" t="s">
        <v>57</v>
      </c>
      <c r="L155" s="5" t="s">
        <v>58</v>
      </c>
      <c r="M155" s="5" t="s">
        <v>59</v>
      </c>
      <c r="N155" s="5" t="s">
        <v>60</v>
      </c>
      <c r="O155" s="5" t="s">
        <v>60</v>
      </c>
      <c r="P155" s="5" t="s">
        <v>61</v>
      </c>
      <c r="Q155" s="5" t="s">
        <v>62</v>
      </c>
      <c r="R155" s="5" t="s">
        <v>63</v>
      </c>
      <c r="S155" s="5" t="s">
        <v>64</v>
      </c>
      <c r="T155" s="5" t="s">
        <v>65</v>
      </c>
      <c r="U155" s="5" t="s">
        <v>66</v>
      </c>
      <c r="V155" s="5" t="s">
        <v>684</v>
      </c>
      <c r="W155" s="5" t="s">
        <v>685</v>
      </c>
      <c r="X155" s="5" t="s">
        <v>129</v>
      </c>
      <c r="Y155" s="5" t="s">
        <v>686</v>
      </c>
      <c r="Z155" s="5" t="s">
        <v>71</v>
      </c>
      <c r="AA155" s="5" t="s">
        <v>249</v>
      </c>
      <c r="AB155" s="5" t="s">
        <v>250</v>
      </c>
      <c r="AC155" s="5" t="s">
        <v>251</v>
      </c>
      <c r="AD155" s="5" t="s">
        <v>75</v>
      </c>
      <c r="AE155" s="5" t="s">
        <v>315</v>
      </c>
      <c r="AF155" s="6">
        <v>30900</v>
      </c>
      <c r="AG155" s="7">
        <v>1</v>
      </c>
      <c r="AH155" s="6">
        <v>30900</v>
      </c>
      <c r="AI155" s="5" t="s">
        <v>687</v>
      </c>
      <c r="AJ155" s="10">
        <v>45983</v>
      </c>
      <c r="AK155" s="5" t="s">
        <v>683</v>
      </c>
      <c r="AL155" s="5" t="s">
        <v>79</v>
      </c>
      <c r="AM155" s="5">
        <v>1619409</v>
      </c>
      <c r="AN155" s="5" t="s">
        <v>80</v>
      </c>
      <c r="AO155" s="5">
        <v>1094010</v>
      </c>
      <c r="AP155" s="5" t="s">
        <v>81</v>
      </c>
      <c r="AQ155" s="5" t="s">
        <v>64</v>
      </c>
      <c r="AR155" s="5" t="s">
        <v>129</v>
      </c>
      <c r="AS155" s="5"/>
      <c r="AT155" s="5"/>
      <c r="AU155" s="5"/>
      <c r="AV155" s="5"/>
      <c r="AW155" s="8"/>
      <c r="AX155" t="s">
        <v>1135</v>
      </c>
      <c r="AY155" t="s">
        <v>2152</v>
      </c>
    </row>
    <row r="156" spans="1:51" x14ac:dyDescent="0.35">
      <c r="A156" s="4" t="s">
        <v>441</v>
      </c>
      <c r="B156" s="5" t="s">
        <v>441</v>
      </c>
      <c r="C156" s="5" t="s">
        <v>681</v>
      </c>
      <c r="D156" s="5" t="s">
        <v>50</v>
      </c>
      <c r="E156" s="5" t="s">
        <v>51</v>
      </c>
      <c r="F156" s="5" t="s">
        <v>49</v>
      </c>
      <c r="G156" s="5" t="s">
        <v>53</v>
      </c>
      <c r="H156" s="5" t="s">
        <v>54</v>
      </c>
      <c r="I156" s="5" t="s">
        <v>682</v>
      </c>
      <c r="J156" s="5" t="s">
        <v>56</v>
      </c>
      <c r="K156" s="5" t="s">
        <v>57</v>
      </c>
      <c r="L156" s="5" t="s">
        <v>58</v>
      </c>
      <c r="M156" s="5" t="s">
        <v>59</v>
      </c>
      <c r="N156" s="5" t="s">
        <v>60</v>
      </c>
      <c r="O156" s="5" t="s">
        <v>60</v>
      </c>
      <c r="P156" s="5" t="s">
        <v>61</v>
      </c>
      <c r="Q156" s="5" t="s">
        <v>62</v>
      </c>
      <c r="R156" s="5" t="s">
        <v>63</v>
      </c>
      <c r="S156" s="5" t="s">
        <v>64</v>
      </c>
      <c r="T156" s="5" t="s">
        <v>65</v>
      </c>
      <c r="U156" s="5" t="s">
        <v>66</v>
      </c>
      <c r="V156" s="5" t="s">
        <v>363</v>
      </c>
      <c r="W156" s="5" t="s">
        <v>364</v>
      </c>
      <c r="X156" s="5" t="s">
        <v>207</v>
      </c>
      <c r="Y156" s="5" t="s">
        <v>365</v>
      </c>
      <c r="Z156" s="5" t="s">
        <v>71</v>
      </c>
      <c r="AA156" s="5" t="s">
        <v>366</v>
      </c>
      <c r="AB156" s="5" t="s">
        <v>367</v>
      </c>
      <c r="AC156" s="5" t="s">
        <v>368</v>
      </c>
      <c r="AD156" s="5" t="s">
        <v>75</v>
      </c>
      <c r="AE156" s="5" t="s">
        <v>369</v>
      </c>
      <c r="AF156" s="6">
        <v>35226</v>
      </c>
      <c r="AG156" s="7">
        <v>1</v>
      </c>
      <c r="AH156" s="6">
        <v>35226</v>
      </c>
      <c r="AI156" s="5" t="s">
        <v>590</v>
      </c>
      <c r="AJ156" s="10">
        <v>45983</v>
      </c>
      <c r="AK156" s="5" t="s">
        <v>683</v>
      </c>
      <c r="AL156" s="5" t="s">
        <v>79</v>
      </c>
      <c r="AM156" s="5">
        <v>1619409</v>
      </c>
      <c r="AN156" s="5" t="s">
        <v>80</v>
      </c>
      <c r="AO156" s="5">
        <v>1094010</v>
      </c>
      <c r="AP156" s="5" t="s">
        <v>81</v>
      </c>
      <c r="AQ156" s="5" t="s">
        <v>64</v>
      </c>
      <c r="AR156" s="5" t="s">
        <v>207</v>
      </c>
      <c r="AS156" s="5"/>
      <c r="AT156" s="5"/>
      <c r="AU156" s="5"/>
      <c r="AV156" s="5"/>
      <c r="AW156" s="8"/>
      <c r="AX156" t="s">
        <v>1135</v>
      </c>
      <c r="AY156" t="s">
        <v>2152</v>
      </c>
    </row>
    <row r="157" spans="1:51" x14ac:dyDescent="0.35">
      <c r="A157" s="4" t="s">
        <v>441</v>
      </c>
      <c r="B157" s="5" t="s">
        <v>441</v>
      </c>
      <c r="C157" s="5" t="s">
        <v>681</v>
      </c>
      <c r="D157" s="5" t="s">
        <v>50</v>
      </c>
      <c r="E157" s="5" t="s">
        <v>51</v>
      </c>
      <c r="F157" s="5" t="s">
        <v>49</v>
      </c>
      <c r="G157" s="5" t="s">
        <v>53</v>
      </c>
      <c r="H157" s="5" t="s">
        <v>54</v>
      </c>
      <c r="I157" s="5" t="s">
        <v>688</v>
      </c>
      <c r="J157" s="5" t="s">
        <v>56</v>
      </c>
      <c r="K157" s="5" t="s">
        <v>57</v>
      </c>
      <c r="L157" s="5" t="s">
        <v>58</v>
      </c>
      <c r="M157" s="5" t="s">
        <v>59</v>
      </c>
      <c r="N157" s="5" t="s">
        <v>60</v>
      </c>
      <c r="O157" s="5" t="s">
        <v>60</v>
      </c>
      <c r="P157" s="5" t="s">
        <v>61</v>
      </c>
      <c r="Q157" s="5" t="s">
        <v>62</v>
      </c>
      <c r="R157" s="5" t="s">
        <v>63</v>
      </c>
      <c r="S157" s="5" t="s">
        <v>64</v>
      </c>
      <c r="T157" s="5" t="s">
        <v>65</v>
      </c>
      <c r="U157" s="5" t="s">
        <v>66</v>
      </c>
      <c r="V157" s="5" t="s">
        <v>113</v>
      </c>
      <c r="W157" s="5" t="s">
        <v>114</v>
      </c>
      <c r="X157" s="5" t="s">
        <v>115</v>
      </c>
      <c r="Y157" s="5" t="s">
        <v>116</v>
      </c>
      <c r="Z157" s="5" t="s">
        <v>71</v>
      </c>
      <c r="AA157" s="5" t="s">
        <v>87</v>
      </c>
      <c r="AB157" s="5" t="s">
        <v>88</v>
      </c>
      <c r="AC157" s="5" t="s">
        <v>89</v>
      </c>
      <c r="AD157" s="5" t="s">
        <v>75</v>
      </c>
      <c r="AE157" s="5" t="s">
        <v>117</v>
      </c>
      <c r="AF157" s="6">
        <v>4326</v>
      </c>
      <c r="AG157" s="7">
        <v>1</v>
      </c>
      <c r="AH157" s="6">
        <v>4326</v>
      </c>
      <c r="AI157" s="5" t="s">
        <v>118</v>
      </c>
      <c r="AJ157" s="10">
        <v>45983</v>
      </c>
      <c r="AK157" s="5" t="s">
        <v>689</v>
      </c>
      <c r="AL157" s="5" t="s">
        <v>79</v>
      </c>
      <c r="AM157" s="5">
        <v>1619409</v>
      </c>
      <c r="AN157" s="5" t="s">
        <v>80</v>
      </c>
      <c r="AO157" s="5">
        <v>1094010</v>
      </c>
      <c r="AP157" s="5" t="s">
        <v>81</v>
      </c>
      <c r="AQ157" s="5" t="s">
        <v>64</v>
      </c>
      <c r="AR157" s="5" t="s">
        <v>115</v>
      </c>
      <c r="AS157" s="5"/>
      <c r="AT157" s="5"/>
      <c r="AU157" s="5"/>
      <c r="AV157" s="5"/>
      <c r="AW157" s="8"/>
      <c r="AX157" t="s">
        <v>1135</v>
      </c>
      <c r="AY157" t="s">
        <v>2152</v>
      </c>
    </row>
    <row r="158" spans="1:51" x14ac:dyDescent="0.35">
      <c r="A158" s="4" t="s">
        <v>441</v>
      </c>
      <c r="B158" s="5" t="s">
        <v>441</v>
      </c>
      <c r="C158" s="5" t="s">
        <v>681</v>
      </c>
      <c r="D158" s="5" t="s">
        <v>50</v>
      </c>
      <c r="E158" s="5" t="s">
        <v>51</v>
      </c>
      <c r="F158" s="5" t="s">
        <v>49</v>
      </c>
      <c r="G158" s="5" t="s">
        <v>53</v>
      </c>
      <c r="H158" s="5" t="s">
        <v>54</v>
      </c>
      <c r="I158" s="5" t="s">
        <v>688</v>
      </c>
      <c r="J158" s="5" t="s">
        <v>56</v>
      </c>
      <c r="K158" s="5" t="s">
        <v>57</v>
      </c>
      <c r="L158" s="5" t="s">
        <v>58</v>
      </c>
      <c r="M158" s="5" t="s">
        <v>59</v>
      </c>
      <c r="N158" s="5" t="s">
        <v>60</v>
      </c>
      <c r="O158" s="5" t="s">
        <v>60</v>
      </c>
      <c r="P158" s="5" t="s">
        <v>61</v>
      </c>
      <c r="Q158" s="5" t="s">
        <v>62</v>
      </c>
      <c r="R158" s="5" t="s">
        <v>63</v>
      </c>
      <c r="S158" s="5" t="s">
        <v>64</v>
      </c>
      <c r="T158" s="5" t="s">
        <v>65</v>
      </c>
      <c r="U158" s="5" t="s">
        <v>66</v>
      </c>
      <c r="V158" s="5" t="s">
        <v>690</v>
      </c>
      <c r="W158" s="5" t="s">
        <v>691</v>
      </c>
      <c r="X158" s="5" t="s">
        <v>138</v>
      </c>
      <c r="Y158" s="5" t="s">
        <v>692</v>
      </c>
      <c r="Z158" s="5" t="s">
        <v>71</v>
      </c>
      <c r="AA158" s="5" t="s">
        <v>72</v>
      </c>
      <c r="AB158" s="5" t="s">
        <v>73</v>
      </c>
      <c r="AC158" s="5" t="s">
        <v>228</v>
      </c>
      <c r="AD158" s="5" t="s">
        <v>75</v>
      </c>
      <c r="AE158" s="5" t="s">
        <v>229</v>
      </c>
      <c r="AF158" s="6">
        <v>35818.480000000003</v>
      </c>
      <c r="AG158" s="7">
        <v>1</v>
      </c>
      <c r="AH158" s="6">
        <v>35818.480000000003</v>
      </c>
      <c r="AI158" s="5" t="s">
        <v>416</v>
      </c>
      <c r="AJ158" s="10">
        <v>45983</v>
      </c>
      <c r="AK158" s="5" t="s">
        <v>689</v>
      </c>
      <c r="AL158" s="5" t="s">
        <v>79</v>
      </c>
      <c r="AM158" s="5">
        <v>1619409</v>
      </c>
      <c r="AN158" s="5" t="s">
        <v>80</v>
      </c>
      <c r="AO158" s="5">
        <v>1094010</v>
      </c>
      <c r="AP158" s="5" t="s">
        <v>81</v>
      </c>
      <c r="AQ158" s="5" t="s">
        <v>64</v>
      </c>
      <c r="AR158" s="5" t="s">
        <v>138</v>
      </c>
      <c r="AS158" s="5"/>
      <c r="AT158" s="5"/>
      <c r="AU158" s="5"/>
      <c r="AV158" s="5"/>
      <c r="AW158" s="8"/>
      <c r="AX158" t="s">
        <v>1135</v>
      </c>
      <c r="AY158" t="s">
        <v>2152</v>
      </c>
    </row>
    <row r="159" spans="1:51" x14ac:dyDescent="0.35">
      <c r="A159" s="4" t="s">
        <v>441</v>
      </c>
      <c r="B159" s="5" t="s">
        <v>441</v>
      </c>
      <c r="C159" s="5" t="s">
        <v>681</v>
      </c>
      <c r="D159" s="5" t="s">
        <v>50</v>
      </c>
      <c r="E159" s="5" t="s">
        <v>51</v>
      </c>
      <c r="F159" s="5" t="s">
        <v>49</v>
      </c>
      <c r="G159" s="5" t="s">
        <v>53</v>
      </c>
      <c r="H159" s="5" t="s">
        <v>54</v>
      </c>
      <c r="I159" s="5" t="s">
        <v>693</v>
      </c>
      <c r="J159" s="5" t="s">
        <v>56</v>
      </c>
      <c r="K159" s="5" t="s">
        <v>57</v>
      </c>
      <c r="L159" s="5" t="s">
        <v>58</v>
      </c>
      <c r="M159" s="5" t="s">
        <v>59</v>
      </c>
      <c r="N159" s="5" t="s">
        <v>60</v>
      </c>
      <c r="O159" s="5" t="s">
        <v>60</v>
      </c>
      <c r="P159" s="5" t="s">
        <v>61</v>
      </c>
      <c r="Q159" s="5" t="s">
        <v>62</v>
      </c>
      <c r="R159" s="5" t="s">
        <v>63</v>
      </c>
      <c r="S159" s="5" t="s">
        <v>64</v>
      </c>
      <c r="T159" s="5" t="s">
        <v>65</v>
      </c>
      <c r="U159" s="5" t="s">
        <v>66</v>
      </c>
      <c r="V159" s="5" t="s">
        <v>694</v>
      </c>
      <c r="W159" s="5" t="s">
        <v>695</v>
      </c>
      <c r="X159" s="5" t="s">
        <v>69</v>
      </c>
      <c r="Y159" s="5" t="s">
        <v>696</v>
      </c>
      <c r="Z159" s="5" t="s">
        <v>71</v>
      </c>
      <c r="AA159" s="5" t="s">
        <v>72</v>
      </c>
      <c r="AB159" s="5" t="s">
        <v>131</v>
      </c>
      <c r="AC159" s="5" t="s">
        <v>132</v>
      </c>
      <c r="AD159" s="5" t="s">
        <v>75</v>
      </c>
      <c r="AE159" s="5" t="s">
        <v>635</v>
      </c>
      <c r="AF159" s="6">
        <v>16500</v>
      </c>
      <c r="AG159" s="7">
        <v>1</v>
      </c>
      <c r="AH159" s="6">
        <v>16500</v>
      </c>
      <c r="AI159" s="5" t="s">
        <v>697</v>
      </c>
      <c r="AJ159" s="10">
        <v>45983</v>
      </c>
      <c r="AK159" s="5" t="s">
        <v>698</v>
      </c>
      <c r="AL159" s="5" t="s">
        <v>79</v>
      </c>
      <c r="AM159" s="5">
        <v>1619409</v>
      </c>
      <c r="AN159" s="5" t="s">
        <v>80</v>
      </c>
      <c r="AO159" s="5">
        <v>1094010</v>
      </c>
      <c r="AP159" s="5" t="s">
        <v>81</v>
      </c>
      <c r="AQ159" s="5" t="s">
        <v>64</v>
      </c>
      <c r="AR159" s="5" t="s">
        <v>69</v>
      </c>
      <c r="AS159" s="5"/>
      <c r="AT159" s="5"/>
      <c r="AU159" s="5"/>
      <c r="AV159" s="5"/>
      <c r="AW159" s="8"/>
      <c r="AX159" t="s">
        <v>1135</v>
      </c>
      <c r="AY159" t="s">
        <v>2152</v>
      </c>
    </row>
    <row r="160" spans="1:51" x14ac:dyDescent="0.35">
      <c r="A160" s="4" t="s">
        <v>441</v>
      </c>
      <c r="B160" s="5" t="s">
        <v>441</v>
      </c>
      <c r="C160" s="5" t="s">
        <v>681</v>
      </c>
      <c r="D160" s="5" t="s">
        <v>50</v>
      </c>
      <c r="E160" s="5" t="s">
        <v>51</v>
      </c>
      <c r="F160" s="5" t="s">
        <v>49</v>
      </c>
      <c r="G160" s="5" t="s">
        <v>53</v>
      </c>
      <c r="H160" s="5" t="s">
        <v>54</v>
      </c>
      <c r="I160" s="5" t="s">
        <v>693</v>
      </c>
      <c r="J160" s="5" t="s">
        <v>56</v>
      </c>
      <c r="K160" s="5" t="s">
        <v>57</v>
      </c>
      <c r="L160" s="5" t="s">
        <v>58</v>
      </c>
      <c r="M160" s="5" t="s">
        <v>59</v>
      </c>
      <c r="N160" s="5" t="s">
        <v>60</v>
      </c>
      <c r="O160" s="5" t="s">
        <v>60</v>
      </c>
      <c r="P160" s="5" t="s">
        <v>61</v>
      </c>
      <c r="Q160" s="5" t="s">
        <v>62</v>
      </c>
      <c r="R160" s="5" t="s">
        <v>63</v>
      </c>
      <c r="S160" s="5" t="s">
        <v>64</v>
      </c>
      <c r="T160" s="5" t="s">
        <v>65</v>
      </c>
      <c r="U160" s="5" t="s">
        <v>66</v>
      </c>
      <c r="V160" s="5" t="s">
        <v>699</v>
      </c>
      <c r="W160" s="5" t="s">
        <v>700</v>
      </c>
      <c r="X160" s="5" t="s">
        <v>199</v>
      </c>
      <c r="Y160" s="5" t="s">
        <v>701</v>
      </c>
      <c r="Z160" s="5" t="s">
        <v>71</v>
      </c>
      <c r="AA160" s="5" t="s">
        <v>87</v>
      </c>
      <c r="AB160" s="5" t="s">
        <v>88</v>
      </c>
      <c r="AC160" s="5" t="s">
        <v>89</v>
      </c>
      <c r="AD160" s="5" t="s">
        <v>75</v>
      </c>
      <c r="AE160" s="5" t="s">
        <v>90</v>
      </c>
      <c r="AF160" s="6">
        <v>4326</v>
      </c>
      <c r="AG160" s="7">
        <v>1</v>
      </c>
      <c r="AH160" s="6">
        <v>4326</v>
      </c>
      <c r="AI160" s="5" t="s">
        <v>702</v>
      </c>
      <c r="AJ160" s="10">
        <v>45983</v>
      </c>
      <c r="AK160" s="5" t="s">
        <v>698</v>
      </c>
      <c r="AL160" s="5" t="s">
        <v>79</v>
      </c>
      <c r="AM160" s="5">
        <v>1619409</v>
      </c>
      <c r="AN160" s="5" t="s">
        <v>80</v>
      </c>
      <c r="AO160" s="5">
        <v>1094010</v>
      </c>
      <c r="AP160" s="5" t="s">
        <v>81</v>
      </c>
      <c r="AQ160" s="5" t="s">
        <v>64</v>
      </c>
      <c r="AR160" s="5" t="s">
        <v>199</v>
      </c>
      <c r="AS160" s="5"/>
      <c r="AT160" s="5"/>
      <c r="AU160" s="5"/>
      <c r="AV160" s="5"/>
      <c r="AW160" s="8"/>
      <c r="AX160" t="s">
        <v>1135</v>
      </c>
      <c r="AY160" t="s">
        <v>2152</v>
      </c>
    </row>
    <row r="161" spans="1:51" x14ac:dyDescent="0.35">
      <c r="A161" s="4" t="s">
        <v>441</v>
      </c>
      <c r="B161" s="5" t="s">
        <v>441</v>
      </c>
      <c r="C161" s="5" t="s">
        <v>476</v>
      </c>
      <c r="D161" s="5" t="s">
        <v>50</v>
      </c>
      <c r="E161" s="5" t="s">
        <v>51</v>
      </c>
      <c r="F161" s="5" t="s">
        <v>49</v>
      </c>
      <c r="G161" s="5" t="s">
        <v>53</v>
      </c>
      <c r="H161" s="5" t="s">
        <v>54</v>
      </c>
      <c r="I161" s="5" t="s">
        <v>703</v>
      </c>
      <c r="J161" s="5" t="s">
        <v>56</v>
      </c>
      <c r="K161" s="5" t="s">
        <v>57</v>
      </c>
      <c r="L161" s="5" t="s">
        <v>58</v>
      </c>
      <c r="M161" s="5" t="s">
        <v>59</v>
      </c>
      <c r="N161" s="5" t="s">
        <v>60</v>
      </c>
      <c r="O161" s="5" t="s">
        <v>60</v>
      </c>
      <c r="P161" s="5" t="s">
        <v>61</v>
      </c>
      <c r="Q161" s="5" t="s">
        <v>62</v>
      </c>
      <c r="R161" s="5" t="s">
        <v>63</v>
      </c>
      <c r="S161" s="5" t="s">
        <v>64</v>
      </c>
      <c r="T161" s="5" t="s">
        <v>65</v>
      </c>
      <c r="U161" s="5" t="s">
        <v>66</v>
      </c>
      <c r="V161" s="5" t="s">
        <v>704</v>
      </c>
      <c r="W161" s="5" t="s">
        <v>705</v>
      </c>
      <c r="X161" s="5" t="s">
        <v>706</v>
      </c>
      <c r="Y161" s="5" t="s">
        <v>707</v>
      </c>
      <c r="Z161" s="5" t="s">
        <v>71</v>
      </c>
      <c r="AA161" s="5" t="s">
        <v>366</v>
      </c>
      <c r="AB161" s="5" t="s">
        <v>708</v>
      </c>
      <c r="AC161" s="5" t="s">
        <v>709</v>
      </c>
      <c r="AD161" s="5" t="s">
        <v>75</v>
      </c>
      <c r="AE161" s="5" t="s">
        <v>709</v>
      </c>
      <c r="AF161" s="6">
        <v>0</v>
      </c>
      <c r="AG161" s="7">
        <v>1</v>
      </c>
      <c r="AH161" s="6">
        <v>0</v>
      </c>
      <c r="AI161" s="5" t="s">
        <v>710</v>
      </c>
      <c r="AJ161" s="10">
        <v>45985</v>
      </c>
      <c r="AK161" s="5" t="s">
        <v>711</v>
      </c>
      <c r="AL161" s="5" t="s">
        <v>79</v>
      </c>
      <c r="AM161" s="5">
        <v>1619409</v>
      </c>
      <c r="AN161" s="5" t="s">
        <v>80</v>
      </c>
      <c r="AO161" s="5">
        <v>1094010</v>
      </c>
      <c r="AP161" s="5" t="s">
        <v>81</v>
      </c>
      <c r="AQ161" s="5" t="s">
        <v>64</v>
      </c>
      <c r="AR161" s="5" t="s">
        <v>706</v>
      </c>
      <c r="AS161" s="5"/>
      <c r="AT161" s="5"/>
      <c r="AU161" s="5"/>
      <c r="AV161" s="5"/>
      <c r="AW161" s="8"/>
      <c r="AX161" t="s">
        <v>1135</v>
      </c>
      <c r="AY161" t="s">
        <v>2152</v>
      </c>
    </row>
    <row r="162" spans="1:51" x14ac:dyDescent="0.35">
      <c r="A162" s="4" t="s">
        <v>441</v>
      </c>
      <c r="B162" s="5" t="s">
        <v>441</v>
      </c>
      <c r="C162" s="5" t="s">
        <v>712</v>
      </c>
      <c r="D162" s="5" t="s">
        <v>50</v>
      </c>
      <c r="E162" s="5" t="s">
        <v>51</v>
      </c>
      <c r="F162" s="5" t="s">
        <v>49</v>
      </c>
      <c r="G162" s="5" t="s">
        <v>53</v>
      </c>
      <c r="H162" s="5" t="s">
        <v>54</v>
      </c>
      <c r="I162" s="5" t="s">
        <v>713</v>
      </c>
      <c r="J162" s="5" t="s">
        <v>56</v>
      </c>
      <c r="K162" s="5" t="s">
        <v>57</v>
      </c>
      <c r="L162" s="5" t="s">
        <v>58</v>
      </c>
      <c r="M162" s="5" t="s">
        <v>59</v>
      </c>
      <c r="N162" s="5" t="s">
        <v>60</v>
      </c>
      <c r="O162" s="5" t="s">
        <v>60</v>
      </c>
      <c r="P162" s="5" t="s">
        <v>61</v>
      </c>
      <c r="Q162" s="5" t="s">
        <v>62</v>
      </c>
      <c r="R162" s="5" t="s">
        <v>63</v>
      </c>
      <c r="S162" s="5" t="s">
        <v>64</v>
      </c>
      <c r="T162" s="5" t="s">
        <v>65</v>
      </c>
      <c r="U162" s="5" t="s">
        <v>66</v>
      </c>
      <c r="V162" s="5" t="s">
        <v>601</v>
      </c>
      <c r="W162" s="5" t="s">
        <v>602</v>
      </c>
      <c r="X162" s="5" t="s">
        <v>207</v>
      </c>
      <c r="Y162" s="5" t="s">
        <v>603</v>
      </c>
      <c r="Z162" s="5" t="s">
        <v>71</v>
      </c>
      <c r="AA162" s="5" t="s">
        <v>87</v>
      </c>
      <c r="AB162" s="5" t="s">
        <v>88</v>
      </c>
      <c r="AC162" s="5" t="s">
        <v>89</v>
      </c>
      <c r="AD162" s="5" t="s">
        <v>75</v>
      </c>
      <c r="AE162" s="5" t="s">
        <v>243</v>
      </c>
      <c r="AF162" s="6">
        <v>4326</v>
      </c>
      <c r="AG162" s="7">
        <v>1</v>
      </c>
      <c r="AH162" s="6">
        <v>4326</v>
      </c>
      <c r="AI162" s="5" t="s">
        <v>118</v>
      </c>
      <c r="AJ162" s="10">
        <v>45986</v>
      </c>
      <c r="AK162" s="5" t="s">
        <v>714</v>
      </c>
      <c r="AL162" s="5" t="s">
        <v>79</v>
      </c>
      <c r="AM162" s="5">
        <v>1619409</v>
      </c>
      <c r="AN162" s="5" t="s">
        <v>80</v>
      </c>
      <c r="AO162" s="5">
        <v>1094010</v>
      </c>
      <c r="AP162" s="5" t="s">
        <v>81</v>
      </c>
      <c r="AQ162" s="5" t="s">
        <v>64</v>
      </c>
      <c r="AR162" s="5" t="s">
        <v>207</v>
      </c>
      <c r="AS162" s="5"/>
      <c r="AT162" s="5"/>
      <c r="AU162" s="5"/>
      <c r="AV162" s="5"/>
      <c r="AW162" s="8"/>
      <c r="AX162" t="s">
        <v>1135</v>
      </c>
      <c r="AY162" t="s">
        <v>2152</v>
      </c>
    </row>
    <row r="163" spans="1:51" x14ac:dyDescent="0.35">
      <c r="A163" s="4" t="s">
        <v>441</v>
      </c>
      <c r="B163" s="5" t="s">
        <v>441</v>
      </c>
      <c r="C163" s="5" t="s">
        <v>712</v>
      </c>
      <c r="D163" s="5" t="s">
        <v>50</v>
      </c>
      <c r="E163" s="5" t="s">
        <v>51</v>
      </c>
      <c r="F163" s="5" t="s">
        <v>49</v>
      </c>
      <c r="G163" s="5" t="s">
        <v>53</v>
      </c>
      <c r="H163" s="5" t="s">
        <v>54</v>
      </c>
      <c r="I163" s="5" t="s">
        <v>715</v>
      </c>
      <c r="J163" s="5" t="s">
        <v>56</v>
      </c>
      <c r="K163" s="5" t="s">
        <v>57</v>
      </c>
      <c r="L163" s="5" t="s">
        <v>58</v>
      </c>
      <c r="M163" s="5" t="s">
        <v>59</v>
      </c>
      <c r="N163" s="5" t="s">
        <v>60</v>
      </c>
      <c r="O163" s="5" t="s">
        <v>60</v>
      </c>
      <c r="P163" s="5" t="s">
        <v>61</v>
      </c>
      <c r="Q163" s="5" t="s">
        <v>62</v>
      </c>
      <c r="R163" s="5" t="s">
        <v>63</v>
      </c>
      <c r="S163" s="5" t="s">
        <v>64</v>
      </c>
      <c r="T163" s="5" t="s">
        <v>65</v>
      </c>
      <c r="U163" s="5" t="s">
        <v>66</v>
      </c>
      <c r="V163" s="5" t="s">
        <v>516</v>
      </c>
      <c r="W163" s="5" t="s">
        <v>716</v>
      </c>
      <c r="X163" s="5" t="s">
        <v>450</v>
      </c>
      <c r="Y163" s="5" t="s">
        <v>519</v>
      </c>
      <c r="Z163" s="5" t="s">
        <v>71</v>
      </c>
      <c r="AA163" s="5" t="s">
        <v>87</v>
      </c>
      <c r="AB163" s="5" t="s">
        <v>104</v>
      </c>
      <c r="AC163" s="5" t="s">
        <v>105</v>
      </c>
      <c r="AD163" s="5" t="s">
        <v>75</v>
      </c>
      <c r="AE163" s="5" t="s">
        <v>263</v>
      </c>
      <c r="AF163" s="6">
        <v>2920</v>
      </c>
      <c r="AG163" s="7">
        <v>1</v>
      </c>
      <c r="AH163" s="6">
        <v>2920</v>
      </c>
      <c r="AI163" s="5" t="s">
        <v>171</v>
      </c>
      <c r="AJ163" s="10">
        <v>45986</v>
      </c>
      <c r="AK163" s="5" t="s">
        <v>717</v>
      </c>
      <c r="AL163" s="5" t="s">
        <v>79</v>
      </c>
      <c r="AM163" s="5">
        <v>1619409</v>
      </c>
      <c r="AN163" s="5" t="s">
        <v>80</v>
      </c>
      <c r="AO163" s="5">
        <v>1094010</v>
      </c>
      <c r="AP163" s="5" t="s">
        <v>81</v>
      </c>
      <c r="AQ163" s="5" t="s">
        <v>64</v>
      </c>
      <c r="AR163" s="5" t="s">
        <v>450</v>
      </c>
      <c r="AS163" s="5"/>
      <c r="AT163" s="5"/>
      <c r="AU163" s="5"/>
      <c r="AV163" s="5"/>
      <c r="AW163" s="8"/>
      <c r="AX163" t="s">
        <v>1135</v>
      </c>
      <c r="AY163" t="s">
        <v>2152</v>
      </c>
    </row>
    <row r="164" spans="1:51" x14ac:dyDescent="0.35">
      <c r="A164" s="4" t="s">
        <v>441</v>
      </c>
      <c r="B164" s="5" t="s">
        <v>441</v>
      </c>
      <c r="C164" s="5" t="s">
        <v>712</v>
      </c>
      <c r="D164" s="5" t="s">
        <v>50</v>
      </c>
      <c r="E164" s="5" t="s">
        <v>51</v>
      </c>
      <c r="F164" s="5" t="s">
        <v>49</v>
      </c>
      <c r="G164" s="5" t="s">
        <v>53</v>
      </c>
      <c r="H164" s="5" t="s">
        <v>54</v>
      </c>
      <c r="I164" s="5" t="s">
        <v>715</v>
      </c>
      <c r="J164" s="5" t="s">
        <v>56</v>
      </c>
      <c r="K164" s="5" t="s">
        <v>57</v>
      </c>
      <c r="L164" s="5" t="s">
        <v>58</v>
      </c>
      <c r="M164" s="5" t="s">
        <v>59</v>
      </c>
      <c r="N164" s="5" t="s">
        <v>60</v>
      </c>
      <c r="O164" s="5" t="s">
        <v>60</v>
      </c>
      <c r="P164" s="5" t="s">
        <v>61</v>
      </c>
      <c r="Q164" s="5" t="s">
        <v>62</v>
      </c>
      <c r="R164" s="5" t="s">
        <v>63</v>
      </c>
      <c r="S164" s="5" t="s">
        <v>64</v>
      </c>
      <c r="T164" s="5" t="s">
        <v>65</v>
      </c>
      <c r="U164" s="5" t="s">
        <v>66</v>
      </c>
      <c r="V164" s="5" t="s">
        <v>718</v>
      </c>
      <c r="W164" s="5" t="s">
        <v>719</v>
      </c>
      <c r="X164" s="5" t="s">
        <v>129</v>
      </c>
      <c r="Y164" s="5" t="s">
        <v>720</v>
      </c>
      <c r="Z164" s="5" t="s">
        <v>71</v>
      </c>
      <c r="AA164" s="5" t="s">
        <v>72</v>
      </c>
      <c r="AB164" s="5" t="s">
        <v>73</v>
      </c>
      <c r="AC164" s="5" t="s">
        <v>74</v>
      </c>
      <c r="AD164" s="5" t="s">
        <v>75</v>
      </c>
      <c r="AE164" s="5" t="s">
        <v>721</v>
      </c>
      <c r="AF164" s="6">
        <v>35818.480000000003</v>
      </c>
      <c r="AG164" s="7">
        <v>1</v>
      </c>
      <c r="AH164" s="6">
        <v>35818.480000000003</v>
      </c>
      <c r="AI164" s="5" t="s">
        <v>608</v>
      </c>
      <c r="AJ164" s="10">
        <v>45986</v>
      </c>
      <c r="AK164" s="5" t="s">
        <v>717</v>
      </c>
      <c r="AL164" s="5" t="s">
        <v>79</v>
      </c>
      <c r="AM164" s="5">
        <v>1619409</v>
      </c>
      <c r="AN164" s="5" t="s">
        <v>80</v>
      </c>
      <c r="AO164" s="5">
        <v>1094010</v>
      </c>
      <c r="AP164" s="5" t="s">
        <v>81</v>
      </c>
      <c r="AQ164" s="5" t="s">
        <v>64</v>
      </c>
      <c r="AR164" s="5" t="s">
        <v>129</v>
      </c>
      <c r="AS164" s="5"/>
      <c r="AT164" s="5"/>
      <c r="AU164" s="5"/>
      <c r="AV164" s="5"/>
      <c r="AW164" s="8"/>
      <c r="AX164" t="s">
        <v>1135</v>
      </c>
      <c r="AY164" t="s">
        <v>2152</v>
      </c>
    </row>
    <row r="165" spans="1:51" x14ac:dyDescent="0.35">
      <c r="A165" s="4" t="s">
        <v>441</v>
      </c>
      <c r="B165" s="5" t="s">
        <v>441</v>
      </c>
      <c r="C165" s="5" t="s">
        <v>712</v>
      </c>
      <c r="D165" s="5" t="s">
        <v>50</v>
      </c>
      <c r="E165" s="5" t="s">
        <v>51</v>
      </c>
      <c r="F165" s="5" t="s">
        <v>49</v>
      </c>
      <c r="G165" s="5" t="s">
        <v>53</v>
      </c>
      <c r="H165" s="5" t="s">
        <v>54</v>
      </c>
      <c r="I165" s="5" t="s">
        <v>715</v>
      </c>
      <c r="J165" s="5" t="s">
        <v>56</v>
      </c>
      <c r="K165" s="5" t="s">
        <v>57</v>
      </c>
      <c r="L165" s="5" t="s">
        <v>58</v>
      </c>
      <c r="M165" s="5" t="s">
        <v>59</v>
      </c>
      <c r="N165" s="5" t="s">
        <v>60</v>
      </c>
      <c r="O165" s="5" t="s">
        <v>60</v>
      </c>
      <c r="P165" s="5" t="s">
        <v>61</v>
      </c>
      <c r="Q165" s="5" t="s">
        <v>62</v>
      </c>
      <c r="R165" s="5" t="s">
        <v>63</v>
      </c>
      <c r="S165" s="5" t="s">
        <v>64</v>
      </c>
      <c r="T165" s="5" t="s">
        <v>65</v>
      </c>
      <c r="U165" s="5" t="s">
        <v>66</v>
      </c>
      <c r="V165" s="5" t="s">
        <v>406</v>
      </c>
      <c r="W165" s="5" t="s">
        <v>722</v>
      </c>
      <c r="X165" s="5" t="s">
        <v>645</v>
      </c>
      <c r="Y165" s="5" t="s">
        <v>408</v>
      </c>
      <c r="Z165" s="5" t="s">
        <v>71</v>
      </c>
      <c r="AA165" s="5" t="s">
        <v>72</v>
      </c>
      <c r="AB165" s="5" t="s">
        <v>73</v>
      </c>
      <c r="AC165" s="5" t="s">
        <v>74</v>
      </c>
      <c r="AD165" s="5" t="s">
        <v>75</v>
      </c>
      <c r="AE165" s="5" t="s">
        <v>223</v>
      </c>
      <c r="AF165" s="6">
        <v>35818.480000000003</v>
      </c>
      <c r="AG165" s="7">
        <v>1</v>
      </c>
      <c r="AH165" s="6">
        <v>35818.480000000003</v>
      </c>
      <c r="AI165" s="5" t="s">
        <v>723</v>
      </c>
      <c r="AJ165" s="10">
        <v>45986</v>
      </c>
      <c r="AK165" s="5" t="s">
        <v>717</v>
      </c>
      <c r="AL165" s="5" t="s">
        <v>79</v>
      </c>
      <c r="AM165" s="5">
        <v>1619409</v>
      </c>
      <c r="AN165" s="5" t="s">
        <v>80</v>
      </c>
      <c r="AO165" s="5">
        <v>1094010</v>
      </c>
      <c r="AP165" s="5" t="s">
        <v>81</v>
      </c>
      <c r="AQ165" s="5" t="s">
        <v>64</v>
      </c>
      <c r="AR165" s="5" t="s">
        <v>645</v>
      </c>
      <c r="AS165" s="5"/>
      <c r="AT165" s="5"/>
      <c r="AU165" s="5"/>
      <c r="AV165" s="5"/>
      <c r="AW165" s="8"/>
      <c r="AX165" t="s">
        <v>1135</v>
      </c>
      <c r="AY165" t="s">
        <v>2152</v>
      </c>
    </row>
    <row r="166" spans="1:51" x14ac:dyDescent="0.35">
      <c r="A166" s="4" t="s">
        <v>441</v>
      </c>
      <c r="B166" s="5" t="s">
        <v>441</v>
      </c>
      <c r="C166" s="5" t="s">
        <v>712</v>
      </c>
      <c r="D166" s="5" t="s">
        <v>50</v>
      </c>
      <c r="E166" s="5" t="s">
        <v>51</v>
      </c>
      <c r="F166" s="5" t="s">
        <v>49</v>
      </c>
      <c r="G166" s="5" t="s">
        <v>53</v>
      </c>
      <c r="H166" s="5" t="s">
        <v>54</v>
      </c>
      <c r="I166" s="5" t="s">
        <v>715</v>
      </c>
      <c r="J166" s="5" t="s">
        <v>56</v>
      </c>
      <c r="K166" s="5" t="s">
        <v>57</v>
      </c>
      <c r="L166" s="5" t="s">
        <v>58</v>
      </c>
      <c r="M166" s="5" t="s">
        <v>59</v>
      </c>
      <c r="N166" s="5" t="s">
        <v>60</v>
      </c>
      <c r="O166" s="5" t="s">
        <v>60</v>
      </c>
      <c r="P166" s="5" t="s">
        <v>61</v>
      </c>
      <c r="Q166" s="5" t="s">
        <v>62</v>
      </c>
      <c r="R166" s="5" t="s">
        <v>63</v>
      </c>
      <c r="S166" s="5" t="s">
        <v>64</v>
      </c>
      <c r="T166" s="5" t="s">
        <v>65</v>
      </c>
      <c r="U166" s="5" t="s">
        <v>66</v>
      </c>
      <c r="V166" s="5" t="s">
        <v>724</v>
      </c>
      <c r="W166" s="5" t="s">
        <v>725</v>
      </c>
      <c r="X166" s="5" t="s">
        <v>356</v>
      </c>
      <c r="Y166" s="5" t="s">
        <v>726</v>
      </c>
      <c r="Z166" s="5" t="s">
        <v>71</v>
      </c>
      <c r="AA166" s="5" t="s">
        <v>72</v>
      </c>
      <c r="AB166" s="5" t="s">
        <v>73</v>
      </c>
      <c r="AC166" s="5" t="s">
        <v>228</v>
      </c>
      <c r="AD166" s="5" t="s">
        <v>75</v>
      </c>
      <c r="AE166" s="5" t="s">
        <v>727</v>
      </c>
      <c r="AF166" s="6">
        <v>35203.86</v>
      </c>
      <c r="AG166" s="7">
        <v>1</v>
      </c>
      <c r="AH166" s="6">
        <v>35203.86</v>
      </c>
      <c r="AI166" s="5" t="s">
        <v>728</v>
      </c>
      <c r="AJ166" s="10">
        <v>45986</v>
      </c>
      <c r="AK166" s="5" t="s">
        <v>717</v>
      </c>
      <c r="AL166" s="5" t="s">
        <v>79</v>
      </c>
      <c r="AM166" s="5">
        <v>1619409</v>
      </c>
      <c r="AN166" s="5" t="s">
        <v>80</v>
      </c>
      <c r="AO166" s="5">
        <v>1094010</v>
      </c>
      <c r="AP166" s="5" t="s">
        <v>81</v>
      </c>
      <c r="AQ166" s="5" t="s">
        <v>64</v>
      </c>
      <c r="AR166" s="5" t="s">
        <v>356</v>
      </c>
      <c r="AS166" s="5"/>
      <c r="AT166" s="5"/>
      <c r="AU166" s="5"/>
      <c r="AV166" s="5"/>
      <c r="AW166" s="8"/>
      <c r="AX166" t="s">
        <v>1135</v>
      </c>
      <c r="AY166" t="s">
        <v>2152</v>
      </c>
    </row>
    <row r="167" spans="1:51" x14ac:dyDescent="0.35">
      <c r="A167" s="4" t="s">
        <v>441</v>
      </c>
      <c r="B167" s="5" t="s">
        <v>441</v>
      </c>
      <c r="C167" s="5" t="s">
        <v>712</v>
      </c>
      <c r="D167" s="5" t="s">
        <v>50</v>
      </c>
      <c r="E167" s="5" t="s">
        <v>51</v>
      </c>
      <c r="F167" s="5" t="s">
        <v>49</v>
      </c>
      <c r="G167" s="5" t="s">
        <v>53</v>
      </c>
      <c r="H167" s="5" t="s">
        <v>54</v>
      </c>
      <c r="I167" s="5" t="s">
        <v>729</v>
      </c>
      <c r="J167" s="5" t="s">
        <v>56</v>
      </c>
      <c r="K167" s="5" t="s">
        <v>57</v>
      </c>
      <c r="L167" s="5" t="s">
        <v>58</v>
      </c>
      <c r="M167" s="5" t="s">
        <v>59</v>
      </c>
      <c r="N167" s="5" t="s">
        <v>60</v>
      </c>
      <c r="O167" s="5" t="s">
        <v>60</v>
      </c>
      <c r="P167" s="5" t="s">
        <v>61</v>
      </c>
      <c r="Q167" s="5" t="s">
        <v>62</v>
      </c>
      <c r="R167" s="5" t="s">
        <v>63</v>
      </c>
      <c r="S167" s="5" t="s">
        <v>64</v>
      </c>
      <c r="T167" s="5" t="s">
        <v>65</v>
      </c>
      <c r="U167" s="5" t="s">
        <v>66</v>
      </c>
      <c r="V167" s="5" t="s">
        <v>626</v>
      </c>
      <c r="W167" s="5" t="s">
        <v>627</v>
      </c>
      <c r="X167" s="5" t="s">
        <v>95</v>
      </c>
      <c r="Y167" s="5" t="s">
        <v>628</v>
      </c>
      <c r="Z167" s="5" t="s">
        <v>71</v>
      </c>
      <c r="AA167" s="5" t="s">
        <v>87</v>
      </c>
      <c r="AB167" s="5" t="s">
        <v>88</v>
      </c>
      <c r="AC167" s="5" t="s">
        <v>89</v>
      </c>
      <c r="AD167" s="5" t="s">
        <v>75</v>
      </c>
      <c r="AE167" s="5" t="s">
        <v>90</v>
      </c>
      <c r="AF167" s="6">
        <v>4326</v>
      </c>
      <c r="AG167" s="7">
        <v>1</v>
      </c>
      <c r="AH167" s="6">
        <v>4326</v>
      </c>
      <c r="AI167" s="5" t="s">
        <v>118</v>
      </c>
      <c r="AJ167" s="10">
        <v>45986</v>
      </c>
      <c r="AK167" s="5" t="s">
        <v>730</v>
      </c>
      <c r="AL167" s="5" t="s">
        <v>79</v>
      </c>
      <c r="AM167" s="5">
        <v>1619409</v>
      </c>
      <c r="AN167" s="5" t="s">
        <v>80</v>
      </c>
      <c r="AO167" s="5">
        <v>1094010</v>
      </c>
      <c r="AP167" s="5" t="s">
        <v>81</v>
      </c>
      <c r="AQ167" s="5" t="s">
        <v>64</v>
      </c>
      <c r="AR167" s="5" t="s">
        <v>95</v>
      </c>
      <c r="AS167" s="5"/>
      <c r="AT167" s="5"/>
      <c r="AU167" s="5"/>
      <c r="AV167" s="5"/>
      <c r="AW167" s="8"/>
      <c r="AX167" t="s">
        <v>1135</v>
      </c>
      <c r="AY167" t="s">
        <v>2152</v>
      </c>
    </row>
    <row r="168" spans="1:51" x14ac:dyDescent="0.35">
      <c r="A168" s="4" t="s">
        <v>441</v>
      </c>
      <c r="B168" s="5" t="s">
        <v>441</v>
      </c>
      <c r="C168" s="5" t="s">
        <v>712</v>
      </c>
      <c r="D168" s="5" t="s">
        <v>50</v>
      </c>
      <c r="E168" s="5" t="s">
        <v>51</v>
      </c>
      <c r="F168" s="5" t="s">
        <v>49</v>
      </c>
      <c r="G168" s="5" t="s">
        <v>53</v>
      </c>
      <c r="H168" s="5" t="s">
        <v>54</v>
      </c>
      <c r="I168" s="5" t="s">
        <v>729</v>
      </c>
      <c r="J168" s="5" t="s">
        <v>56</v>
      </c>
      <c r="K168" s="5" t="s">
        <v>57</v>
      </c>
      <c r="L168" s="5" t="s">
        <v>58</v>
      </c>
      <c r="M168" s="5" t="s">
        <v>59</v>
      </c>
      <c r="N168" s="5" t="s">
        <v>60</v>
      </c>
      <c r="O168" s="5" t="s">
        <v>60</v>
      </c>
      <c r="P168" s="5" t="s">
        <v>61</v>
      </c>
      <c r="Q168" s="5" t="s">
        <v>62</v>
      </c>
      <c r="R168" s="5" t="s">
        <v>63</v>
      </c>
      <c r="S168" s="5" t="s">
        <v>64</v>
      </c>
      <c r="T168" s="5" t="s">
        <v>65</v>
      </c>
      <c r="U168" s="5" t="s">
        <v>66</v>
      </c>
      <c r="V168" s="5" t="s">
        <v>463</v>
      </c>
      <c r="W168" s="5" t="s">
        <v>731</v>
      </c>
      <c r="X168" s="5" t="s">
        <v>453</v>
      </c>
      <c r="Y168" s="5" t="s">
        <v>466</v>
      </c>
      <c r="Z168" s="5" t="s">
        <v>71</v>
      </c>
      <c r="AA168" s="5" t="s">
        <v>87</v>
      </c>
      <c r="AB168" s="5" t="s">
        <v>88</v>
      </c>
      <c r="AC168" s="5" t="s">
        <v>89</v>
      </c>
      <c r="AD168" s="5" t="s">
        <v>75</v>
      </c>
      <c r="AE168" s="5" t="s">
        <v>243</v>
      </c>
      <c r="AF168" s="6">
        <v>4200</v>
      </c>
      <c r="AG168" s="7">
        <v>1</v>
      </c>
      <c r="AH168" s="6">
        <v>4200</v>
      </c>
      <c r="AI168" s="5" t="s">
        <v>732</v>
      </c>
      <c r="AJ168" s="10">
        <v>45986</v>
      </c>
      <c r="AK168" s="5" t="s">
        <v>730</v>
      </c>
      <c r="AL168" s="5" t="s">
        <v>79</v>
      </c>
      <c r="AM168" s="5">
        <v>1619409</v>
      </c>
      <c r="AN168" s="5" t="s">
        <v>80</v>
      </c>
      <c r="AO168" s="5">
        <v>1094010</v>
      </c>
      <c r="AP168" s="5" t="s">
        <v>81</v>
      </c>
      <c r="AQ168" s="5" t="s">
        <v>64</v>
      </c>
      <c r="AR168" s="5" t="s">
        <v>453</v>
      </c>
      <c r="AS168" s="5"/>
      <c r="AT168" s="5"/>
      <c r="AU168" s="5"/>
      <c r="AV168" s="5"/>
      <c r="AW168" s="8"/>
      <c r="AX168" t="s">
        <v>1135</v>
      </c>
      <c r="AY168" t="s">
        <v>2152</v>
      </c>
    </row>
    <row r="169" spans="1:51" x14ac:dyDescent="0.35">
      <c r="A169" s="4" t="s">
        <v>441</v>
      </c>
      <c r="B169" s="5" t="s">
        <v>441</v>
      </c>
      <c r="C169" s="5" t="s">
        <v>733</v>
      </c>
      <c r="D169" s="5" t="s">
        <v>50</v>
      </c>
      <c r="E169" s="5" t="s">
        <v>51</v>
      </c>
      <c r="F169" s="5" t="s">
        <v>49</v>
      </c>
      <c r="G169" s="5" t="s">
        <v>53</v>
      </c>
      <c r="H169" s="5" t="s">
        <v>54</v>
      </c>
      <c r="I169" s="5" t="s">
        <v>734</v>
      </c>
      <c r="J169" s="5" t="s">
        <v>56</v>
      </c>
      <c r="K169" s="5" t="s">
        <v>57</v>
      </c>
      <c r="L169" s="5" t="s">
        <v>58</v>
      </c>
      <c r="M169" s="5" t="s">
        <v>59</v>
      </c>
      <c r="N169" s="5" t="s">
        <v>60</v>
      </c>
      <c r="O169" s="5" t="s">
        <v>60</v>
      </c>
      <c r="P169" s="5" t="s">
        <v>61</v>
      </c>
      <c r="Q169" s="5" t="s">
        <v>62</v>
      </c>
      <c r="R169" s="5" t="s">
        <v>63</v>
      </c>
      <c r="S169" s="5" t="s">
        <v>64</v>
      </c>
      <c r="T169" s="5" t="s">
        <v>65</v>
      </c>
      <c r="U169" s="5" t="s">
        <v>66</v>
      </c>
      <c r="V169" s="5" t="s">
        <v>735</v>
      </c>
      <c r="W169" s="5" t="s">
        <v>736</v>
      </c>
      <c r="X169" s="5" t="s">
        <v>218</v>
      </c>
      <c r="Y169" s="5" t="s">
        <v>737</v>
      </c>
      <c r="Z169" s="5" t="s">
        <v>71</v>
      </c>
      <c r="AA169" s="5" t="s">
        <v>72</v>
      </c>
      <c r="AB169" s="5" t="s">
        <v>131</v>
      </c>
      <c r="AC169" s="5" t="s">
        <v>132</v>
      </c>
      <c r="AD169" s="5" t="s">
        <v>75</v>
      </c>
      <c r="AE169" s="5" t="s">
        <v>140</v>
      </c>
      <c r="AF169" s="6">
        <v>16500</v>
      </c>
      <c r="AG169" s="7">
        <v>1</v>
      </c>
      <c r="AH169" s="6">
        <v>16500</v>
      </c>
      <c r="AI169" s="5" t="s">
        <v>141</v>
      </c>
      <c r="AJ169" s="10">
        <v>45987</v>
      </c>
      <c r="AK169" s="5" t="s">
        <v>738</v>
      </c>
      <c r="AL169" s="5" t="s">
        <v>79</v>
      </c>
      <c r="AM169" s="5">
        <v>1619409</v>
      </c>
      <c r="AN169" s="5" t="s">
        <v>80</v>
      </c>
      <c r="AO169" s="5">
        <v>1094010</v>
      </c>
      <c r="AP169" s="5" t="s">
        <v>81</v>
      </c>
      <c r="AQ169" s="5" t="s">
        <v>64</v>
      </c>
      <c r="AR169" s="5" t="s">
        <v>218</v>
      </c>
      <c r="AS169" s="5"/>
      <c r="AT169" s="5"/>
      <c r="AU169" s="5"/>
      <c r="AV169" s="5"/>
      <c r="AW169" s="8"/>
      <c r="AX169" t="s">
        <v>1135</v>
      </c>
      <c r="AY169" t="s">
        <v>2152</v>
      </c>
    </row>
    <row r="170" spans="1:51" x14ac:dyDescent="0.35">
      <c r="A170" s="4" t="s">
        <v>441</v>
      </c>
      <c r="B170" s="5" t="s">
        <v>441</v>
      </c>
      <c r="C170" s="5" t="s">
        <v>733</v>
      </c>
      <c r="D170" s="5" t="s">
        <v>50</v>
      </c>
      <c r="E170" s="5" t="s">
        <v>51</v>
      </c>
      <c r="F170" s="5" t="s">
        <v>49</v>
      </c>
      <c r="G170" s="5" t="s">
        <v>53</v>
      </c>
      <c r="H170" s="5" t="s">
        <v>54</v>
      </c>
      <c r="I170" s="5" t="s">
        <v>734</v>
      </c>
      <c r="J170" s="5" t="s">
        <v>56</v>
      </c>
      <c r="K170" s="5" t="s">
        <v>57</v>
      </c>
      <c r="L170" s="5" t="s">
        <v>58</v>
      </c>
      <c r="M170" s="5" t="s">
        <v>59</v>
      </c>
      <c r="N170" s="5" t="s">
        <v>60</v>
      </c>
      <c r="O170" s="5" t="s">
        <v>60</v>
      </c>
      <c r="P170" s="5" t="s">
        <v>61</v>
      </c>
      <c r="Q170" s="5" t="s">
        <v>62</v>
      </c>
      <c r="R170" s="5" t="s">
        <v>63</v>
      </c>
      <c r="S170" s="5" t="s">
        <v>64</v>
      </c>
      <c r="T170" s="5" t="s">
        <v>65</v>
      </c>
      <c r="U170" s="5" t="s">
        <v>66</v>
      </c>
      <c r="V170" s="5" t="s">
        <v>212</v>
      </c>
      <c r="W170" s="5" t="s">
        <v>213</v>
      </c>
      <c r="X170" s="5" t="s">
        <v>207</v>
      </c>
      <c r="Y170" s="5" t="s">
        <v>214</v>
      </c>
      <c r="Z170" s="5" t="s">
        <v>71</v>
      </c>
      <c r="AA170" s="5" t="s">
        <v>87</v>
      </c>
      <c r="AB170" s="5" t="s">
        <v>88</v>
      </c>
      <c r="AC170" s="5" t="s">
        <v>89</v>
      </c>
      <c r="AD170" s="5" t="s">
        <v>75</v>
      </c>
      <c r="AE170" s="5" t="s">
        <v>117</v>
      </c>
      <c r="AF170" s="6">
        <v>4326</v>
      </c>
      <c r="AG170" s="7">
        <v>1</v>
      </c>
      <c r="AH170" s="6">
        <v>4326</v>
      </c>
      <c r="AI170" s="5" t="s">
        <v>118</v>
      </c>
      <c r="AJ170" s="10">
        <v>45987</v>
      </c>
      <c r="AK170" s="5" t="s">
        <v>738</v>
      </c>
      <c r="AL170" s="5" t="s">
        <v>79</v>
      </c>
      <c r="AM170" s="5">
        <v>1619409</v>
      </c>
      <c r="AN170" s="5" t="s">
        <v>80</v>
      </c>
      <c r="AO170" s="5">
        <v>1094010</v>
      </c>
      <c r="AP170" s="5" t="s">
        <v>81</v>
      </c>
      <c r="AQ170" s="5" t="s">
        <v>64</v>
      </c>
      <c r="AR170" s="5" t="s">
        <v>207</v>
      </c>
      <c r="AS170" s="5"/>
      <c r="AT170" s="5"/>
      <c r="AU170" s="5"/>
      <c r="AV170" s="5"/>
      <c r="AW170" s="8"/>
      <c r="AX170" t="s">
        <v>1135</v>
      </c>
      <c r="AY170" t="s">
        <v>2152</v>
      </c>
    </row>
    <row r="171" spans="1:51" x14ac:dyDescent="0.35">
      <c r="A171" s="4" t="s">
        <v>441</v>
      </c>
      <c r="B171" s="5" t="s">
        <v>441</v>
      </c>
      <c r="C171" s="5" t="s">
        <v>733</v>
      </c>
      <c r="D171" s="5" t="s">
        <v>50</v>
      </c>
      <c r="E171" s="5" t="s">
        <v>51</v>
      </c>
      <c r="F171" s="5" t="s">
        <v>49</v>
      </c>
      <c r="G171" s="5" t="s">
        <v>53</v>
      </c>
      <c r="H171" s="5" t="s">
        <v>54</v>
      </c>
      <c r="I171" s="5" t="s">
        <v>739</v>
      </c>
      <c r="J171" s="5" t="s">
        <v>56</v>
      </c>
      <c r="K171" s="5" t="s">
        <v>57</v>
      </c>
      <c r="L171" s="5" t="s">
        <v>58</v>
      </c>
      <c r="M171" s="5" t="s">
        <v>59</v>
      </c>
      <c r="N171" s="5" t="s">
        <v>60</v>
      </c>
      <c r="O171" s="5" t="s">
        <v>60</v>
      </c>
      <c r="P171" s="5" t="s">
        <v>61</v>
      </c>
      <c r="Q171" s="5" t="s">
        <v>62</v>
      </c>
      <c r="R171" s="5" t="s">
        <v>63</v>
      </c>
      <c r="S171" s="5" t="s">
        <v>64</v>
      </c>
      <c r="T171" s="5" t="s">
        <v>65</v>
      </c>
      <c r="U171" s="5" t="s">
        <v>66</v>
      </c>
      <c r="V171" s="5" t="s">
        <v>740</v>
      </c>
      <c r="W171" s="5" t="s">
        <v>741</v>
      </c>
      <c r="X171" s="5" t="s">
        <v>207</v>
      </c>
      <c r="Y171" s="5" t="s">
        <v>742</v>
      </c>
      <c r="Z171" s="5" t="s">
        <v>71</v>
      </c>
      <c r="AA171" s="5" t="s">
        <v>87</v>
      </c>
      <c r="AB171" s="5" t="s">
        <v>88</v>
      </c>
      <c r="AC171" s="5" t="s">
        <v>89</v>
      </c>
      <c r="AD171" s="5" t="s">
        <v>75</v>
      </c>
      <c r="AE171" s="5" t="s">
        <v>117</v>
      </c>
      <c r="AF171" s="6">
        <v>4326</v>
      </c>
      <c r="AG171" s="7">
        <v>1</v>
      </c>
      <c r="AH171" s="6">
        <v>4326</v>
      </c>
      <c r="AI171" s="5" t="s">
        <v>118</v>
      </c>
      <c r="AJ171" s="10">
        <v>45987</v>
      </c>
      <c r="AK171" s="5" t="s">
        <v>743</v>
      </c>
      <c r="AL171" s="5" t="s">
        <v>79</v>
      </c>
      <c r="AM171" s="5">
        <v>1619409</v>
      </c>
      <c r="AN171" s="5" t="s">
        <v>80</v>
      </c>
      <c r="AO171" s="5">
        <v>1094010</v>
      </c>
      <c r="AP171" s="5" t="s">
        <v>81</v>
      </c>
      <c r="AQ171" s="5" t="s">
        <v>64</v>
      </c>
      <c r="AR171" s="5" t="s">
        <v>207</v>
      </c>
      <c r="AS171" s="5"/>
      <c r="AT171" s="5"/>
      <c r="AU171" s="5"/>
      <c r="AV171" s="5"/>
      <c r="AW171" s="8"/>
      <c r="AX171" t="s">
        <v>1135</v>
      </c>
      <c r="AY171" t="s">
        <v>2152</v>
      </c>
    </row>
    <row r="172" spans="1:51" x14ac:dyDescent="0.35">
      <c r="A172" s="4" t="s">
        <v>441</v>
      </c>
      <c r="B172" s="5" t="s">
        <v>441</v>
      </c>
      <c r="C172" s="5" t="s">
        <v>744</v>
      </c>
      <c r="D172" s="5" t="s">
        <v>50</v>
      </c>
      <c r="E172" s="5" t="s">
        <v>51</v>
      </c>
      <c r="F172" s="5" t="s">
        <v>49</v>
      </c>
      <c r="G172" s="5" t="s">
        <v>53</v>
      </c>
      <c r="H172" s="5" t="s">
        <v>54</v>
      </c>
      <c r="I172" s="5" t="s">
        <v>745</v>
      </c>
      <c r="J172" s="5" t="s">
        <v>56</v>
      </c>
      <c r="K172" s="5" t="s">
        <v>57</v>
      </c>
      <c r="L172" s="5" t="s">
        <v>58</v>
      </c>
      <c r="M172" s="5" t="s">
        <v>59</v>
      </c>
      <c r="N172" s="5" t="s">
        <v>60</v>
      </c>
      <c r="O172" s="5" t="s">
        <v>60</v>
      </c>
      <c r="P172" s="5" t="s">
        <v>61</v>
      </c>
      <c r="Q172" s="5" t="s">
        <v>62</v>
      </c>
      <c r="R172" s="5" t="s">
        <v>63</v>
      </c>
      <c r="S172" s="5" t="s">
        <v>64</v>
      </c>
      <c r="T172" s="5" t="s">
        <v>65</v>
      </c>
      <c r="U172" s="5" t="s">
        <v>66</v>
      </c>
      <c r="V172" s="5" t="s">
        <v>746</v>
      </c>
      <c r="W172" s="5" t="s">
        <v>747</v>
      </c>
      <c r="X172" s="5" t="s">
        <v>465</v>
      </c>
      <c r="Y172" s="5" t="s">
        <v>748</v>
      </c>
      <c r="Z172" s="5" t="s">
        <v>71</v>
      </c>
      <c r="AA172" s="5" t="s">
        <v>249</v>
      </c>
      <c r="AB172" s="5" t="s">
        <v>250</v>
      </c>
      <c r="AC172" s="5" t="s">
        <v>251</v>
      </c>
      <c r="AD172" s="5" t="s">
        <v>75</v>
      </c>
      <c r="AE172" s="5" t="s">
        <v>252</v>
      </c>
      <c r="AF172" s="6">
        <v>30000</v>
      </c>
      <c r="AG172" s="7">
        <v>1</v>
      </c>
      <c r="AH172" s="6">
        <v>30000</v>
      </c>
      <c r="AI172" s="5" t="s">
        <v>362</v>
      </c>
      <c r="AJ172" s="10">
        <v>45988</v>
      </c>
      <c r="AK172" s="5" t="s">
        <v>749</v>
      </c>
      <c r="AL172" s="5" t="s">
        <v>79</v>
      </c>
      <c r="AM172" s="5">
        <v>1619409</v>
      </c>
      <c r="AN172" s="5" t="s">
        <v>80</v>
      </c>
      <c r="AO172" s="5">
        <v>1094010</v>
      </c>
      <c r="AP172" s="5" t="s">
        <v>81</v>
      </c>
      <c r="AQ172" s="5" t="s">
        <v>64</v>
      </c>
      <c r="AR172" s="5" t="s">
        <v>465</v>
      </c>
      <c r="AS172" s="5"/>
      <c r="AT172" s="5"/>
      <c r="AU172" s="5"/>
      <c r="AV172" s="5"/>
      <c r="AW172" s="8"/>
      <c r="AX172" t="s">
        <v>1135</v>
      </c>
      <c r="AY172" t="s">
        <v>2152</v>
      </c>
    </row>
    <row r="173" spans="1:51" x14ac:dyDescent="0.35">
      <c r="A173" s="4" t="s">
        <v>441</v>
      </c>
      <c r="B173" s="5" t="s">
        <v>441</v>
      </c>
      <c r="C173" s="5" t="s">
        <v>744</v>
      </c>
      <c r="D173" s="5" t="s">
        <v>50</v>
      </c>
      <c r="E173" s="5" t="s">
        <v>51</v>
      </c>
      <c r="F173" s="5" t="s">
        <v>49</v>
      </c>
      <c r="G173" s="5" t="s">
        <v>53</v>
      </c>
      <c r="H173" s="5" t="s">
        <v>54</v>
      </c>
      <c r="I173" s="5" t="s">
        <v>750</v>
      </c>
      <c r="J173" s="5" t="s">
        <v>56</v>
      </c>
      <c r="K173" s="5" t="s">
        <v>57</v>
      </c>
      <c r="L173" s="5" t="s">
        <v>58</v>
      </c>
      <c r="M173" s="5" t="s">
        <v>59</v>
      </c>
      <c r="N173" s="5" t="s">
        <v>60</v>
      </c>
      <c r="O173" s="5" t="s">
        <v>60</v>
      </c>
      <c r="P173" s="5" t="s">
        <v>61</v>
      </c>
      <c r="Q173" s="5" t="s">
        <v>62</v>
      </c>
      <c r="R173" s="5" t="s">
        <v>63</v>
      </c>
      <c r="S173" s="5" t="s">
        <v>64</v>
      </c>
      <c r="T173" s="5" t="s">
        <v>65</v>
      </c>
      <c r="U173" s="5" t="s">
        <v>66</v>
      </c>
      <c r="V173" s="5" t="s">
        <v>397</v>
      </c>
      <c r="W173" s="5" t="s">
        <v>751</v>
      </c>
      <c r="X173" s="5" t="s">
        <v>129</v>
      </c>
      <c r="Y173" s="5" t="s">
        <v>399</v>
      </c>
      <c r="Z173" s="5" t="s">
        <v>71</v>
      </c>
      <c r="AA173" s="5" t="s">
        <v>72</v>
      </c>
      <c r="AB173" s="5" t="s">
        <v>73</v>
      </c>
      <c r="AC173" s="5" t="s">
        <v>74</v>
      </c>
      <c r="AD173" s="5" t="s">
        <v>75</v>
      </c>
      <c r="AE173" s="5" t="s">
        <v>76</v>
      </c>
      <c r="AF173" s="6">
        <v>35818.480000000003</v>
      </c>
      <c r="AG173" s="7">
        <v>1</v>
      </c>
      <c r="AH173" s="6">
        <v>35818.480000000003</v>
      </c>
      <c r="AI173" s="5" t="s">
        <v>141</v>
      </c>
      <c r="AJ173" s="10">
        <v>45988</v>
      </c>
      <c r="AK173" s="5" t="s">
        <v>752</v>
      </c>
      <c r="AL173" s="5" t="s">
        <v>79</v>
      </c>
      <c r="AM173" s="5">
        <v>1619409</v>
      </c>
      <c r="AN173" s="5" t="s">
        <v>80</v>
      </c>
      <c r="AO173" s="5">
        <v>1094010</v>
      </c>
      <c r="AP173" s="5" t="s">
        <v>81</v>
      </c>
      <c r="AQ173" s="5" t="s">
        <v>64</v>
      </c>
      <c r="AR173" s="5" t="s">
        <v>129</v>
      </c>
      <c r="AS173" s="5"/>
      <c r="AT173" s="5"/>
      <c r="AU173" s="5"/>
      <c r="AV173" s="5"/>
      <c r="AW173" s="8"/>
      <c r="AX173" t="s">
        <v>1135</v>
      </c>
      <c r="AY173" t="s">
        <v>2152</v>
      </c>
    </row>
    <row r="174" spans="1:51" x14ac:dyDescent="0.35">
      <c r="A174" s="4" t="s">
        <v>441</v>
      </c>
      <c r="B174" s="5" t="s">
        <v>441</v>
      </c>
      <c r="C174" s="5" t="s">
        <v>744</v>
      </c>
      <c r="D174" s="5" t="s">
        <v>50</v>
      </c>
      <c r="E174" s="5" t="s">
        <v>51</v>
      </c>
      <c r="F174" s="5" t="s">
        <v>49</v>
      </c>
      <c r="G174" s="5" t="s">
        <v>53</v>
      </c>
      <c r="H174" s="5" t="s">
        <v>54</v>
      </c>
      <c r="I174" s="5" t="s">
        <v>753</v>
      </c>
      <c r="J174" s="5" t="s">
        <v>56</v>
      </c>
      <c r="K174" s="5" t="s">
        <v>57</v>
      </c>
      <c r="L174" s="5" t="s">
        <v>58</v>
      </c>
      <c r="M174" s="5" t="s">
        <v>59</v>
      </c>
      <c r="N174" s="5" t="s">
        <v>60</v>
      </c>
      <c r="O174" s="5" t="s">
        <v>60</v>
      </c>
      <c r="P174" s="5" t="s">
        <v>61</v>
      </c>
      <c r="Q174" s="5" t="s">
        <v>62</v>
      </c>
      <c r="R174" s="5" t="s">
        <v>63</v>
      </c>
      <c r="S174" s="5" t="s">
        <v>64</v>
      </c>
      <c r="T174" s="5" t="s">
        <v>65</v>
      </c>
      <c r="U174" s="5" t="s">
        <v>66</v>
      </c>
      <c r="V174" s="5" t="s">
        <v>754</v>
      </c>
      <c r="W174" s="5" t="s">
        <v>755</v>
      </c>
      <c r="X174" s="5" t="s">
        <v>129</v>
      </c>
      <c r="Y174" s="5" t="s">
        <v>756</v>
      </c>
      <c r="Z174" s="5" t="s">
        <v>71</v>
      </c>
      <c r="AA174" s="5" t="s">
        <v>87</v>
      </c>
      <c r="AB174" s="5" t="s">
        <v>88</v>
      </c>
      <c r="AC174" s="5" t="s">
        <v>89</v>
      </c>
      <c r="AD174" s="5" t="s">
        <v>75</v>
      </c>
      <c r="AE174" s="5" t="s">
        <v>243</v>
      </c>
      <c r="AF174" s="6">
        <v>4326</v>
      </c>
      <c r="AG174" s="7">
        <v>1</v>
      </c>
      <c r="AH174" s="6">
        <v>4326</v>
      </c>
      <c r="AI174" s="5" t="s">
        <v>352</v>
      </c>
      <c r="AJ174" s="10">
        <v>45988</v>
      </c>
      <c r="AK174" s="5" t="s">
        <v>757</v>
      </c>
      <c r="AL174" s="5" t="s">
        <v>79</v>
      </c>
      <c r="AM174" s="5">
        <v>1619409</v>
      </c>
      <c r="AN174" s="5" t="s">
        <v>80</v>
      </c>
      <c r="AO174" s="5">
        <v>1094010</v>
      </c>
      <c r="AP174" s="5" t="s">
        <v>81</v>
      </c>
      <c r="AQ174" s="5" t="s">
        <v>64</v>
      </c>
      <c r="AR174" s="5" t="s">
        <v>129</v>
      </c>
      <c r="AS174" s="5"/>
      <c r="AT174" s="5"/>
      <c r="AU174" s="5"/>
      <c r="AV174" s="5"/>
      <c r="AW174" s="8"/>
      <c r="AX174" t="s">
        <v>1135</v>
      </c>
      <c r="AY174" t="s">
        <v>2152</v>
      </c>
    </row>
    <row r="175" spans="1:51" x14ac:dyDescent="0.35">
      <c r="A175" s="4" t="s">
        <v>441</v>
      </c>
      <c r="B175" s="5" t="s">
        <v>441</v>
      </c>
      <c r="C175" s="5" t="s">
        <v>744</v>
      </c>
      <c r="D175" s="5" t="s">
        <v>50</v>
      </c>
      <c r="E175" s="5" t="s">
        <v>51</v>
      </c>
      <c r="F175" s="5" t="s">
        <v>49</v>
      </c>
      <c r="G175" s="5" t="s">
        <v>53</v>
      </c>
      <c r="H175" s="5" t="s">
        <v>54</v>
      </c>
      <c r="I175" s="5" t="s">
        <v>758</v>
      </c>
      <c r="J175" s="5" t="s">
        <v>56</v>
      </c>
      <c r="K175" s="5" t="s">
        <v>57</v>
      </c>
      <c r="L175" s="5" t="s">
        <v>58</v>
      </c>
      <c r="M175" s="5" t="s">
        <v>59</v>
      </c>
      <c r="N175" s="5" t="s">
        <v>60</v>
      </c>
      <c r="O175" s="5" t="s">
        <v>60</v>
      </c>
      <c r="P175" s="5" t="s">
        <v>61</v>
      </c>
      <c r="Q175" s="5" t="s">
        <v>62</v>
      </c>
      <c r="R175" s="5" t="s">
        <v>63</v>
      </c>
      <c r="S175" s="5" t="s">
        <v>64</v>
      </c>
      <c r="T175" s="5" t="s">
        <v>65</v>
      </c>
      <c r="U175" s="5" t="s">
        <v>66</v>
      </c>
      <c r="V175" s="5" t="s">
        <v>516</v>
      </c>
      <c r="W175" s="5" t="s">
        <v>677</v>
      </c>
      <c r="X175" s="5" t="s">
        <v>350</v>
      </c>
      <c r="Y175" s="5" t="s">
        <v>519</v>
      </c>
      <c r="Z175" s="5" t="s">
        <v>71</v>
      </c>
      <c r="AA175" s="5" t="s">
        <v>87</v>
      </c>
      <c r="AB175" s="5" t="s">
        <v>104</v>
      </c>
      <c r="AC175" s="5" t="s">
        <v>105</v>
      </c>
      <c r="AD175" s="5" t="s">
        <v>75</v>
      </c>
      <c r="AE175" s="5" t="s">
        <v>263</v>
      </c>
      <c r="AF175" s="6">
        <v>2920</v>
      </c>
      <c r="AG175" s="7">
        <v>1</v>
      </c>
      <c r="AH175" s="6">
        <v>2920</v>
      </c>
      <c r="AI175" s="5" t="s">
        <v>154</v>
      </c>
      <c r="AJ175" s="10">
        <v>45988</v>
      </c>
      <c r="AK175" s="5" t="s">
        <v>759</v>
      </c>
      <c r="AL175" s="5" t="s">
        <v>79</v>
      </c>
      <c r="AM175" s="5">
        <v>1619409</v>
      </c>
      <c r="AN175" s="5" t="s">
        <v>80</v>
      </c>
      <c r="AO175" s="5">
        <v>1094010</v>
      </c>
      <c r="AP175" s="5" t="s">
        <v>81</v>
      </c>
      <c r="AQ175" s="5" t="s">
        <v>64</v>
      </c>
      <c r="AR175" s="5" t="s">
        <v>350</v>
      </c>
      <c r="AS175" s="5"/>
      <c r="AT175" s="5"/>
      <c r="AU175" s="5"/>
      <c r="AV175" s="5"/>
      <c r="AW175" s="8"/>
      <c r="AX175" t="s">
        <v>1135</v>
      </c>
      <c r="AY175" t="s">
        <v>2152</v>
      </c>
    </row>
    <row r="176" spans="1:51" x14ac:dyDescent="0.35">
      <c r="A176" s="4" t="s">
        <v>441</v>
      </c>
      <c r="B176" s="5" t="s">
        <v>441</v>
      </c>
      <c r="C176" s="5" t="s">
        <v>744</v>
      </c>
      <c r="D176" s="5" t="s">
        <v>50</v>
      </c>
      <c r="E176" s="5" t="s">
        <v>51</v>
      </c>
      <c r="F176" s="5" t="s">
        <v>49</v>
      </c>
      <c r="G176" s="5" t="s">
        <v>53</v>
      </c>
      <c r="H176" s="5" t="s">
        <v>54</v>
      </c>
      <c r="I176" s="5" t="s">
        <v>758</v>
      </c>
      <c r="J176" s="5" t="s">
        <v>56</v>
      </c>
      <c r="K176" s="5" t="s">
        <v>57</v>
      </c>
      <c r="L176" s="5" t="s">
        <v>58</v>
      </c>
      <c r="M176" s="5" t="s">
        <v>59</v>
      </c>
      <c r="N176" s="5" t="s">
        <v>60</v>
      </c>
      <c r="O176" s="5" t="s">
        <v>60</v>
      </c>
      <c r="P176" s="5" t="s">
        <v>61</v>
      </c>
      <c r="Q176" s="5" t="s">
        <v>62</v>
      </c>
      <c r="R176" s="5" t="s">
        <v>63</v>
      </c>
      <c r="S176" s="5" t="s">
        <v>64</v>
      </c>
      <c r="T176" s="5" t="s">
        <v>65</v>
      </c>
      <c r="U176" s="5" t="s">
        <v>66</v>
      </c>
      <c r="V176" s="5" t="s">
        <v>220</v>
      </c>
      <c r="W176" s="5" t="s">
        <v>221</v>
      </c>
      <c r="X176" s="5" t="s">
        <v>207</v>
      </c>
      <c r="Y176" s="5" t="s">
        <v>222</v>
      </c>
      <c r="Z176" s="5" t="s">
        <v>71</v>
      </c>
      <c r="AA176" s="5" t="s">
        <v>72</v>
      </c>
      <c r="AB176" s="5" t="s">
        <v>73</v>
      </c>
      <c r="AC176" s="5" t="s">
        <v>74</v>
      </c>
      <c r="AD176" s="5" t="s">
        <v>75</v>
      </c>
      <c r="AE176" s="5" t="s">
        <v>223</v>
      </c>
      <c r="AF176" s="6">
        <v>35818.480000000003</v>
      </c>
      <c r="AG176" s="7">
        <v>1</v>
      </c>
      <c r="AH176" s="6">
        <v>35818.480000000003</v>
      </c>
      <c r="AI176" s="5" t="s">
        <v>209</v>
      </c>
      <c r="AJ176" s="10">
        <v>45988</v>
      </c>
      <c r="AK176" s="5" t="s">
        <v>759</v>
      </c>
      <c r="AL176" s="5" t="s">
        <v>79</v>
      </c>
      <c r="AM176" s="5">
        <v>1619409</v>
      </c>
      <c r="AN176" s="5" t="s">
        <v>80</v>
      </c>
      <c r="AO176" s="5">
        <v>1094010</v>
      </c>
      <c r="AP176" s="5" t="s">
        <v>81</v>
      </c>
      <c r="AQ176" s="5" t="s">
        <v>64</v>
      </c>
      <c r="AR176" s="5" t="s">
        <v>207</v>
      </c>
      <c r="AS176" s="5"/>
      <c r="AT176" s="5"/>
      <c r="AU176" s="5"/>
      <c r="AV176" s="5"/>
      <c r="AW176" s="8"/>
      <c r="AX176" t="s">
        <v>1135</v>
      </c>
      <c r="AY176" t="s">
        <v>2152</v>
      </c>
    </row>
    <row r="177" spans="1:51" x14ac:dyDescent="0.35">
      <c r="A177" s="4" t="s">
        <v>441</v>
      </c>
      <c r="B177" s="5" t="s">
        <v>441</v>
      </c>
      <c r="C177" s="5" t="s">
        <v>744</v>
      </c>
      <c r="D177" s="5" t="s">
        <v>50</v>
      </c>
      <c r="E177" s="5" t="s">
        <v>51</v>
      </c>
      <c r="F177" s="5" t="s">
        <v>49</v>
      </c>
      <c r="G177" s="5" t="s">
        <v>53</v>
      </c>
      <c r="H177" s="5" t="s">
        <v>54</v>
      </c>
      <c r="I177" s="5" t="s">
        <v>758</v>
      </c>
      <c r="J177" s="5" t="s">
        <v>56</v>
      </c>
      <c r="K177" s="5" t="s">
        <v>57</v>
      </c>
      <c r="L177" s="5" t="s">
        <v>58</v>
      </c>
      <c r="M177" s="5" t="s">
        <v>59</v>
      </c>
      <c r="N177" s="5" t="s">
        <v>60</v>
      </c>
      <c r="O177" s="5" t="s">
        <v>60</v>
      </c>
      <c r="P177" s="5" t="s">
        <v>61</v>
      </c>
      <c r="Q177" s="5" t="s">
        <v>62</v>
      </c>
      <c r="R177" s="5" t="s">
        <v>63</v>
      </c>
      <c r="S177" s="5" t="s">
        <v>64</v>
      </c>
      <c r="T177" s="5" t="s">
        <v>65</v>
      </c>
      <c r="U177" s="5" t="s">
        <v>66</v>
      </c>
      <c r="V177" s="5" t="s">
        <v>656</v>
      </c>
      <c r="W177" s="5" t="s">
        <v>760</v>
      </c>
      <c r="X177" s="5" t="s">
        <v>138</v>
      </c>
      <c r="Y177" s="5" t="s">
        <v>658</v>
      </c>
      <c r="Z177" s="5" t="s">
        <v>71</v>
      </c>
      <c r="AA177" s="5" t="s">
        <v>72</v>
      </c>
      <c r="AB177" s="5" t="s">
        <v>73</v>
      </c>
      <c r="AC177" s="5" t="s">
        <v>74</v>
      </c>
      <c r="AD177" s="5" t="s">
        <v>75</v>
      </c>
      <c r="AE177" s="5" t="s">
        <v>223</v>
      </c>
      <c r="AF177" s="6">
        <v>35818.480000000003</v>
      </c>
      <c r="AG177" s="7">
        <v>1</v>
      </c>
      <c r="AH177" s="6">
        <v>35818.480000000003</v>
      </c>
      <c r="AI177" s="5" t="s">
        <v>141</v>
      </c>
      <c r="AJ177" s="10">
        <v>45988</v>
      </c>
      <c r="AK177" s="5" t="s">
        <v>759</v>
      </c>
      <c r="AL177" s="5" t="s">
        <v>79</v>
      </c>
      <c r="AM177" s="5">
        <v>1619409</v>
      </c>
      <c r="AN177" s="5" t="s">
        <v>80</v>
      </c>
      <c r="AO177" s="5">
        <v>1094010</v>
      </c>
      <c r="AP177" s="5" t="s">
        <v>81</v>
      </c>
      <c r="AQ177" s="5" t="s">
        <v>64</v>
      </c>
      <c r="AR177" s="5" t="s">
        <v>138</v>
      </c>
      <c r="AS177" s="5"/>
      <c r="AT177" s="5"/>
      <c r="AU177" s="5"/>
      <c r="AV177" s="5"/>
      <c r="AW177" s="8"/>
      <c r="AX177" t="s">
        <v>1135</v>
      </c>
      <c r="AY177" t="s">
        <v>2152</v>
      </c>
    </row>
    <row r="178" spans="1:51" x14ac:dyDescent="0.35">
      <c r="A178" s="4" t="s">
        <v>441</v>
      </c>
      <c r="B178" s="5" t="s">
        <v>441</v>
      </c>
      <c r="C178" s="5" t="s">
        <v>554</v>
      </c>
      <c r="D178" s="5" t="s">
        <v>50</v>
      </c>
      <c r="E178" s="5" t="s">
        <v>51</v>
      </c>
      <c r="F178" s="5" t="s">
        <v>761</v>
      </c>
      <c r="G178" s="5" t="s">
        <v>53</v>
      </c>
      <c r="H178" s="5" t="s">
        <v>54</v>
      </c>
      <c r="I178" s="5" t="s">
        <v>762</v>
      </c>
      <c r="J178" s="5" t="s">
        <v>56</v>
      </c>
      <c r="K178" s="5" t="s">
        <v>57</v>
      </c>
      <c r="L178" s="5" t="s">
        <v>58</v>
      </c>
      <c r="M178" s="5" t="s">
        <v>59</v>
      </c>
      <c r="N178" s="5" t="s">
        <v>60</v>
      </c>
      <c r="O178" s="5" t="s">
        <v>60</v>
      </c>
      <c r="P178" s="5" t="s">
        <v>61</v>
      </c>
      <c r="Q178" s="5" t="s">
        <v>62</v>
      </c>
      <c r="R178" s="5" t="s">
        <v>63</v>
      </c>
      <c r="S178" s="5" t="s">
        <v>64</v>
      </c>
      <c r="T178" s="5" t="s">
        <v>65</v>
      </c>
      <c r="U178" s="5" t="s">
        <v>66</v>
      </c>
      <c r="V178" s="5" t="s">
        <v>516</v>
      </c>
      <c r="W178" s="5" t="s">
        <v>677</v>
      </c>
      <c r="X178" s="5" t="s">
        <v>350</v>
      </c>
      <c r="Y178" s="5" t="s">
        <v>519</v>
      </c>
      <c r="Z178" s="5" t="s">
        <v>71</v>
      </c>
      <c r="AA178" s="5" t="s">
        <v>87</v>
      </c>
      <c r="AB178" s="5" t="s">
        <v>104</v>
      </c>
      <c r="AC178" s="5" t="s">
        <v>105</v>
      </c>
      <c r="AD178" s="5" t="s">
        <v>75</v>
      </c>
      <c r="AE178" s="5" t="s">
        <v>263</v>
      </c>
      <c r="AF178" s="6">
        <v>2920</v>
      </c>
      <c r="AG178" s="7">
        <v>1</v>
      </c>
      <c r="AH178" s="6">
        <v>2920</v>
      </c>
      <c r="AI178" s="5" t="s">
        <v>154</v>
      </c>
      <c r="AJ178" s="10">
        <v>45989</v>
      </c>
      <c r="AK178" s="5" t="s">
        <v>763</v>
      </c>
      <c r="AL178" s="5" t="s">
        <v>79</v>
      </c>
      <c r="AM178" s="5">
        <v>1619409</v>
      </c>
      <c r="AN178" s="5" t="s">
        <v>80</v>
      </c>
      <c r="AO178" s="5">
        <v>1094010</v>
      </c>
      <c r="AP178" s="5" t="s">
        <v>81</v>
      </c>
      <c r="AQ178" s="5" t="s">
        <v>64</v>
      </c>
      <c r="AR178" s="5" t="s">
        <v>350</v>
      </c>
      <c r="AS178" s="5"/>
      <c r="AT178" s="5"/>
      <c r="AU178" s="5"/>
      <c r="AV178" s="5"/>
      <c r="AW178" s="8"/>
      <c r="AX178" t="s">
        <v>1135</v>
      </c>
      <c r="AY178" t="s">
        <v>2152</v>
      </c>
    </row>
    <row r="179" spans="1:51" x14ac:dyDescent="0.35">
      <c r="A179" s="4" t="s">
        <v>441</v>
      </c>
      <c r="B179" s="5" t="s">
        <v>441</v>
      </c>
      <c r="C179" s="5" t="s">
        <v>554</v>
      </c>
      <c r="D179" s="5" t="s">
        <v>50</v>
      </c>
      <c r="E179" s="5" t="s">
        <v>51</v>
      </c>
      <c r="F179" s="5" t="s">
        <v>761</v>
      </c>
      <c r="G179" s="5" t="s">
        <v>53</v>
      </c>
      <c r="H179" s="5" t="s">
        <v>54</v>
      </c>
      <c r="I179" s="5" t="s">
        <v>764</v>
      </c>
      <c r="J179" s="5" t="s">
        <v>56</v>
      </c>
      <c r="K179" s="5" t="s">
        <v>57</v>
      </c>
      <c r="L179" s="5" t="s">
        <v>58</v>
      </c>
      <c r="M179" s="5" t="s">
        <v>59</v>
      </c>
      <c r="N179" s="5" t="s">
        <v>60</v>
      </c>
      <c r="O179" s="5" t="s">
        <v>60</v>
      </c>
      <c r="P179" s="5" t="s">
        <v>61</v>
      </c>
      <c r="Q179" s="5" t="s">
        <v>62</v>
      </c>
      <c r="R179" s="5" t="s">
        <v>63</v>
      </c>
      <c r="S179" s="5" t="s">
        <v>64</v>
      </c>
      <c r="T179" s="5" t="s">
        <v>65</v>
      </c>
      <c r="U179" s="5" t="s">
        <v>66</v>
      </c>
      <c r="V179" s="5" t="s">
        <v>166</v>
      </c>
      <c r="W179" s="5" t="s">
        <v>167</v>
      </c>
      <c r="X179" s="5" t="s">
        <v>168</v>
      </c>
      <c r="Y179" s="5" t="s">
        <v>169</v>
      </c>
      <c r="Z179" s="5" t="s">
        <v>71</v>
      </c>
      <c r="AA179" s="5" t="s">
        <v>87</v>
      </c>
      <c r="AB179" s="5" t="s">
        <v>104</v>
      </c>
      <c r="AC179" s="5" t="s">
        <v>105</v>
      </c>
      <c r="AD179" s="5" t="s">
        <v>75</v>
      </c>
      <c r="AE179" s="5" t="s">
        <v>170</v>
      </c>
      <c r="AF179" s="6">
        <v>2920</v>
      </c>
      <c r="AG179" s="7">
        <v>1</v>
      </c>
      <c r="AH179" s="6">
        <v>2920</v>
      </c>
      <c r="AI179" s="5" t="s">
        <v>171</v>
      </c>
      <c r="AJ179" s="10">
        <v>45989</v>
      </c>
      <c r="AK179" s="5" t="s">
        <v>765</v>
      </c>
      <c r="AL179" s="5" t="s">
        <v>79</v>
      </c>
      <c r="AM179" s="5">
        <v>1619409</v>
      </c>
      <c r="AN179" s="5" t="s">
        <v>80</v>
      </c>
      <c r="AO179" s="5">
        <v>1094010</v>
      </c>
      <c r="AP179" s="5" t="s">
        <v>81</v>
      </c>
      <c r="AQ179" s="5" t="s">
        <v>64</v>
      </c>
      <c r="AR179" s="5" t="s">
        <v>168</v>
      </c>
      <c r="AS179" s="5"/>
      <c r="AT179" s="5"/>
      <c r="AU179" s="5"/>
      <c r="AV179" s="5"/>
      <c r="AW179" s="8"/>
      <c r="AX179" t="s">
        <v>1135</v>
      </c>
      <c r="AY179" t="s">
        <v>2152</v>
      </c>
    </row>
    <row r="180" spans="1:51" x14ac:dyDescent="0.35">
      <c r="A180" s="4" t="s">
        <v>441</v>
      </c>
      <c r="B180" s="5" t="s">
        <v>441</v>
      </c>
      <c r="C180" s="5" t="s">
        <v>554</v>
      </c>
      <c r="D180" s="5" t="s">
        <v>50</v>
      </c>
      <c r="E180" s="5" t="s">
        <v>51</v>
      </c>
      <c r="F180" s="5" t="s">
        <v>761</v>
      </c>
      <c r="G180" s="5" t="s">
        <v>53</v>
      </c>
      <c r="H180" s="5" t="s">
        <v>54</v>
      </c>
      <c r="I180" s="5" t="s">
        <v>764</v>
      </c>
      <c r="J180" s="5" t="s">
        <v>56</v>
      </c>
      <c r="K180" s="5" t="s">
        <v>57</v>
      </c>
      <c r="L180" s="5" t="s">
        <v>58</v>
      </c>
      <c r="M180" s="5" t="s">
        <v>59</v>
      </c>
      <c r="N180" s="5" t="s">
        <v>60</v>
      </c>
      <c r="O180" s="5" t="s">
        <v>60</v>
      </c>
      <c r="P180" s="5" t="s">
        <v>61</v>
      </c>
      <c r="Q180" s="5" t="s">
        <v>62</v>
      </c>
      <c r="R180" s="5" t="s">
        <v>63</v>
      </c>
      <c r="S180" s="5" t="s">
        <v>64</v>
      </c>
      <c r="T180" s="5" t="s">
        <v>65</v>
      </c>
      <c r="U180" s="5" t="s">
        <v>66</v>
      </c>
      <c r="V180" s="5" t="s">
        <v>212</v>
      </c>
      <c r="W180" s="5" t="s">
        <v>766</v>
      </c>
      <c r="X180" s="5" t="s">
        <v>207</v>
      </c>
      <c r="Y180" s="5" t="s">
        <v>214</v>
      </c>
      <c r="Z180" s="5" t="s">
        <v>71</v>
      </c>
      <c r="AA180" s="5" t="s">
        <v>87</v>
      </c>
      <c r="AB180" s="5" t="s">
        <v>88</v>
      </c>
      <c r="AC180" s="5" t="s">
        <v>89</v>
      </c>
      <c r="AD180" s="5" t="s">
        <v>75</v>
      </c>
      <c r="AE180" s="5" t="s">
        <v>117</v>
      </c>
      <c r="AF180" s="6">
        <v>4326</v>
      </c>
      <c r="AG180" s="7">
        <v>1</v>
      </c>
      <c r="AH180" s="6">
        <v>4326</v>
      </c>
      <c r="AI180" s="5" t="s">
        <v>154</v>
      </c>
      <c r="AJ180" s="10">
        <v>45989</v>
      </c>
      <c r="AK180" s="5" t="s">
        <v>765</v>
      </c>
      <c r="AL180" s="5" t="s">
        <v>79</v>
      </c>
      <c r="AM180" s="5">
        <v>1619409</v>
      </c>
      <c r="AN180" s="5" t="s">
        <v>80</v>
      </c>
      <c r="AO180" s="5">
        <v>1094010</v>
      </c>
      <c r="AP180" s="5" t="s">
        <v>81</v>
      </c>
      <c r="AQ180" s="5" t="s">
        <v>64</v>
      </c>
      <c r="AR180" s="5" t="s">
        <v>207</v>
      </c>
      <c r="AS180" s="5"/>
      <c r="AT180" s="5"/>
      <c r="AU180" s="5"/>
      <c r="AV180" s="5"/>
      <c r="AW180" s="8"/>
      <c r="AX180" t="s">
        <v>1135</v>
      </c>
      <c r="AY180" t="s">
        <v>2152</v>
      </c>
    </row>
    <row r="181" spans="1:51" x14ac:dyDescent="0.35">
      <c r="A181" s="4" t="s">
        <v>441</v>
      </c>
      <c r="B181" s="5" t="s">
        <v>441</v>
      </c>
      <c r="C181" s="5" t="s">
        <v>767</v>
      </c>
      <c r="D181" s="5" t="s">
        <v>50</v>
      </c>
      <c r="E181" s="5" t="s">
        <v>51</v>
      </c>
      <c r="F181" s="5" t="s">
        <v>761</v>
      </c>
      <c r="G181" s="5" t="s">
        <v>53</v>
      </c>
      <c r="H181" s="5" t="s">
        <v>54</v>
      </c>
      <c r="I181" s="5" t="s">
        <v>768</v>
      </c>
      <c r="J181" s="5" t="s">
        <v>56</v>
      </c>
      <c r="K181" s="5" t="s">
        <v>57</v>
      </c>
      <c r="L181" s="5" t="s">
        <v>58</v>
      </c>
      <c r="M181" s="5" t="s">
        <v>59</v>
      </c>
      <c r="N181" s="5" t="s">
        <v>60</v>
      </c>
      <c r="O181" s="5" t="s">
        <v>60</v>
      </c>
      <c r="P181" s="5" t="s">
        <v>61</v>
      </c>
      <c r="Q181" s="5" t="s">
        <v>62</v>
      </c>
      <c r="R181" s="5" t="s">
        <v>63</v>
      </c>
      <c r="S181" s="5" t="s">
        <v>64</v>
      </c>
      <c r="T181" s="5" t="s">
        <v>65</v>
      </c>
      <c r="U181" s="5" t="s">
        <v>66</v>
      </c>
      <c r="V181" s="5" t="s">
        <v>512</v>
      </c>
      <c r="W181" s="5" t="s">
        <v>522</v>
      </c>
      <c r="X181" s="5" t="s">
        <v>129</v>
      </c>
      <c r="Y181" s="5" t="s">
        <v>514</v>
      </c>
      <c r="Z181" s="5" t="s">
        <v>71</v>
      </c>
      <c r="AA181" s="5" t="s">
        <v>87</v>
      </c>
      <c r="AB181" s="5" t="s">
        <v>88</v>
      </c>
      <c r="AC181" s="5" t="s">
        <v>89</v>
      </c>
      <c r="AD181" s="5" t="s">
        <v>75</v>
      </c>
      <c r="AE181" s="5" t="s">
        <v>97</v>
      </c>
      <c r="AF181" s="6">
        <v>4326</v>
      </c>
      <c r="AG181" s="7">
        <v>1</v>
      </c>
      <c r="AH181" s="6">
        <v>4326</v>
      </c>
      <c r="AI181" s="5" t="s">
        <v>118</v>
      </c>
      <c r="AJ181" s="10">
        <v>45990</v>
      </c>
      <c r="AK181" s="5" t="s">
        <v>769</v>
      </c>
      <c r="AL181" s="5" t="s">
        <v>79</v>
      </c>
      <c r="AM181" s="5">
        <v>1619409</v>
      </c>
      <c r="AN181" s="5" t="s">
        <v>80</v>
      </c>
      <c r="AO181" s="5">
        <v>1094010</v>
      </c>
      <c r="AP181" s="5" t="s">
        <v>81</v>
      </c>
      <c r="AQ181" s="5" t="s">
        <v>64</v>
      </c>
      <c r="AR181" s="5" t="s">
        <v>129</v>
      </c>
      <c r="AS181" s="5"/>
      <c r="AT181" s="5"/>
      <c r="AU181" s="5"/>
      <c r="AV181" s="5"/>
      <c r="AW181" s="8"/>
      <c r="AX181" t="s">
        <v>1135</v>
      </c>
      <c r="AY181" t="s">
        <v>2152</v>
      </c>
    </row>
    <row r="182" spans="1:51" x14ac:dyDescent="0.35">
      <c r="A182" s="4" t="s">
        <v>441</v>
      </c>
      <c r="B182" s="5" t="s">
        <v>441</v>
      </c>
      <c r="C182" s="5" t="s">
        <v>767</v>
      </c>
      <c r="D182" s="5" t="s">
        <v>50</v>
      </c>
      <c r="E182" s="5" t="s">
        <v>51</v>
      </c>
      <c r="F182" s="5" t="s">
        <v>761</v>
      </c>
      <c r="G182" s="5" t="s">
        <v>53</v>
      </c>
      <c r="H182" s="5" t="s">
        <v>54</v>
      </c>
      <c r="I182" s="5" t="s">
        <v>770</v>
      </c>
      <c r="J182" s="5" t="s">
        <v>56</v>
      </c>
      <c r="K182" s="5" t="s">
        <v>57</v>
      </c>
      <c r="L182" s="5" t="s">
        <v>58</v>
      </c>
      <c r="M182" s="5" t="s">
        <v>59</v>
      </c>
      <c r="N182" s="5" t="s">
        <v>60</v>
      </c>
      <c r="O182" s="5" t="s">
        <v>60</v>
      </c>
      <c r="P182" s="5" t="s">
        <v>61</v>
      </c>
      <c r="Q182" s="5" t="s">
        <v>62</v>
      </c>
      <c r="R182" s="5" t="s">
        <v>63</v>
      </c>
      <c r="S182" s="5" t="s">
        <v>64</v>
      </c>
      <c r="T182" s="5" t="s">
        <v>65</v>
      </c>
      <c r="U182" s="5" t="s">
        <v>66</v>
      </c>
      <c r="V182" s="5" t="s">
        <v>121</v>
      </c>
      <c r="W182" s="5" t="s">
        <v>122</v>
      </c>
      <c r="X182" s="5" t="s">
        <v>95</v>
      </c>
      <c r="Y182" s="5" t="s">
        <v>123</v>
      </c>
      <c r="Z182" s="5" t="s">
        <v>71</v>
      </c>
      <c r="AA182" s="5" t="s">
        <v>87</v>
      </c>
      <c r="AB182" s="5" t="s">
        <v>88</v>
      </c>
      <c r="AC182" s="5" t="s">
        <v>89</v>
      </c>
      <c r="AD182" s="5" t="s">
        <v>75</v>
      </c>
      <c r="AE182" s="5" t="s">
        <v>124</v>
      </c>
      <c r="AF182" s="6">
        <v>4326</v>
      </c>
      <c r="AG182" s="7">
        <v>1</v>
      </c>
      <c r="AH182" s="6">
        <v>4326</v>
      </c>
      <c r="AI182" s="5" t="s">
        <v>118</v>
      </c>
      <c r="AJ182" s="10">
        <v>45990</v>
      </c>
      <c r="AK182" s="5" t="s">
        <v>771</v>
      </c>
      <c r="AL182" s="5" t="s">
        <v>79</v>
      </c>
      <c r="AM182" s="5">
        <v>1619409</v>
      </c>
      <c r="AN182" s="5" t="s">
        <v>80</v>
      </c>
      <c r="AO182" s="5">
        <v>1094010</v>
      </c>
      <c r="AP182" s="5" t="s">
        <v>81</v>
      </c>
      <c r="AQ182" s="5" t="s">
        <v>64</v>
      </c>
      <c r="AR182" s="5" t="s">
        <v>95</v>
      </c>
      <c r="AS182" s="5"/>
      <c r="AT182" s="5"/>
      <c r="AU182" s="5"/>
      <c r="AV182" s="5"/>
      <c r="AW182" s="8"/>
      <c r="AX182" t="s">
        <v>1135</v>
      </c>
      <c r="AY182" t="s">
        <v>2152</v>
      </c>
    </row>
    <row r="183" spans="1:51" x14ac:dyDescent="0.35">
      <c r="A183" s="4" t="s">
        <v>772</v>
      </c>
      <c r="B183" s="5" t="s">
        <v>772</v>
      </c>
      <c r="C183" s="5" t="s">
        <v>773</v>
      </c>
      <c r="D183" s="5" t="s">
        <v>50</v>
      </c>
      <c r="E183" s="5" t="s">
        <v>51</v>
      </c>
      <c r="F183" s="5" t="s">
        <v>774</v>
      </c>
      <c r="G183" s="5" t="s">
        <v>53</v>
      </c>
      <c r="H183" s="5" t="s">
        <v>54</v>
      </c>
      <c r="I183" s="5" t="s">
        <v>775</v>
      </c>
      <c r="J183" s="5" t="s">
        <v>56</v>
      </c>
      <c r="K183" s="5" t="s">
        <v>57</v>
      </c>
      <c r="L183" s="5" t="s">
        <v>58</v>
      </c>
      <c r="M183" s="5" t="s">
        <v>59</v>
      </c>
      <c r="N183" s="5" t="s">
        <v>60</v>
      </c>
      <c r="O183" s="5" t="s">
        <v>60</v>
      </c>
      <c r="P183" s="5" t="s">
        <v>61</v>
      </c>
      <c r="Q183" s="5" t="s">
        <v>62</v>
      </c>
      <c r="R183" s="5" t="s">
        <v>63</v>
      </c>
      <c r="S183" s="5" t="s">
        <v>64</v>
      </c>
      <c r="T183" s="5" t="s">
        <v>65</v>
      </c>
      <c r="U183" s="5" t="s">
        <v>66</v>
      </c>
      <c r="V183" s="5" t="s">
        <v>490</v>
      </c>
      <c r="W183" s="5" t="s">
        <v>776</v>
      </c>
      <c r="X183" s="5" t="s">
        <v>350</v>
      </c>
      <c r="Y183" s="5" t="s">
        <v>493</v>
      </c>
      <c r="Z183" s="5" t="s">
        <v>71</v>
      </c>
      <c r="AA183" s="5" t="s">
        <v>87</v>
      </c>
      <c r="AB183" s="5" t="s">
        <v>104</v>
      </c>
      <c r="AC183" s="5" t="s">
        <v>105</v>
      </c>
      <c r="AD183" s="5" t="s">
        <v>75</v>
      </c>
      <c r="AE183" s="5" t="s">
        <v>170</v>
      </c>
      <c r="AF183" s="6">
        <v>2920</v>
      </c>
      <c r="AG183" s="7">
        <v>1</v>
      </c>
      <c r="AH183" s="6">
        <v>2920</v>
      </c>
      <c r="AI183" s="5" t="s">
        <v>777</v>
      </c>
      <c r="AJ183" s="10">
        <v>45931</v>
      </c>
      <c r="AK183" s="5" t="s">
        <v>778</v>
      </c>
      <c r="AL183" s="5" t="s">
        <v>79</v>
      </c>
      <c r="AM183" s="5">
        <v>1619409</v>
      </c>
      <c r="AN183" s="5" t="s">
        <v>80</v>
      </c>
      <c r="AO183" s="5">
        <v>1094010</v>
      </c>
      <c r="AP183" s="5" t="s">
        <v>81</v>
      </c>
      <c r="AQ183" s="5" t="s">
        <v>64</v>
      </c>
      <c r="AR183" s="5" t="s">
        <v>350</v>
      </c>
      <c r="AS183" s="5"/>
      <c r="AT183" s="5"/>
      <c r="AU183" s="5"/>
      <c r="AV183" s="5"/>
      <c r="AW183" s="8"/>
      <c r="AX183" t="s">
        <v>1135</v>
      </c>
      <c r="AY183" t="s">
        <v>2152</v>
      </c>
    </row>
    <row r="184" spans="1:51" x14ac:dyDescent="0.35">
      <c r="A184" s="4" t="s">
        <v>772</v>
      </c>
      <c r="B184" s="5" t="s">
        <v>772</v>
      </c>
      <c r="C184" s="5" t="s">
        <v>773</v>
      </c>
      <c r="D184" s="5" t="s">
        <v>50</v>
      </c>
      <c r="E184" s="5" t="s">
        <v>51</v>
      </c>
      <c r="F184" s="5" t="s">
        <v>774</v>
      </c>
      <c r="G184" s="5" t="s">
        <v>53</v>
      </c>
      <c r="H184" s="5" t="s">
        <v>54</v>
      </c>
      <c r="I184" s="5" t="s">
        <v>779</v>
      </c>
      <c r="J184" s="5" t="s">
        <v>56</v>
      </c>
      <c r="K184" s="5" t="s">
        <v>57</v>
      </c>
      <c r="L184" s="5" t="s">
        <v>58</v>
      </c>
      <c r="M184" s="5" t="s">
        <v>59</v>
      </c>
      <c r="N184" s="5" t="s">
        <v>60</v>
      </c>
      <c r="O184" s="5" t="s">
        <v>60</v>
      </c>
      <c r="P184" s="5" t="s">
        <v>61</v>
      </c>
      <c r="Q184" s="5" t="s">
        <v>62</v>
      </c>
      <c r="R184" s="5" t="s">
        <v>63</v>
      </c>
      <c r="S184" s="5" t="s">
        <v>64</v>
      </c>
      <c r="T184" s="5" t="s">
        <v>65</v>
      </c>
      <c r="U184" s="5" t="s">
        <v>66</v>
      </c>
      <c r="V184" s="5" t="s">
        <v>660</v>
      </c>
      <c r="W184" s="5" t="s">
        <v>780</v>
      </c>
      <c r="X184" s="5" t="s">
        <v>138</v>
      </c>
      <c r="Y184" s="5" t="s">
        <v>662</v>
      </c>
      <c r="Z184" s="5" t="s">
        <v>71</v>
      </c>
      <c r="AA184" s="5" t="s">
        <v>87</v>
      </c>
      <c r="AB184" s="5" t="s">
        <v>88</v>
      </c>
      <c r="AC184" s="5" t="s">
        <v>89</v>
      </c>
      <c r="AD184" s="5" t="s">
        <v>75</v>
      </c>
      <c r="AE184" s="5" t="s">
        <v>243</v>
      </c>
      <c r="AF184" s="6">
        <v>4326</v>
      </c>
      <c r="AG184" s="7">
        <v>1</v>
      </c>
      <c r="AH184" s="6">
        <v>4326</v>
      </c>
      <c r="AI184" s="5" t="s">
        <v>781</v>
      </c>
      <c r="AJ184" s="10">
        <v>45931</v>
      </c>
      <c r="AK184" s="5" t="s">
        <v>782</v>
      </c>
      <c r="AL184" s="5" t="s">
        <v>79</v>
      </c>
      <c r="AM184" s="5">
        <v>1619409</v>
      </c>
      <c r="AN184" s="5" t="s">
        <v>80</v>
      </c>
      <c r="AO184" s="5">
        <v>1094010</v>
      </c>
      <c r="AP184" s="5" t="s">
        <v>81</v>
      </c>
      <c r="AQ184" s="5" t="s">
        <v>64</v>
      </c>
      <c r="AR184" s="5" t="s">
        <v>138</v>
      </c>
      <c r="AS184" s="5"/>
      <c r="AT184" s="5"/>
      <c r="AU184" s="5"/>
      <c r="AV184" s="5"/>
      <c r="AW184" s="8"/>
      <c r="AX184" t="s">
        <v>1135</v>
      </c>
      <c r="AY184" t="s">
        <v>2152</v>
      </c>
    </row>
    <row r="185" spans="1:51" x14ac:dyDescent="0.35">
      <c r="A185" s="4" t="s">
        <v>772</v>
      </c>
      <c r="B185" s="5" t="s">
        <v>772</v>
      </c>
      <c r="C185" s="5" t="s">
        <v>773</v>
      </c>
      <c r="D185" s="5" t="s">
        <v>50</v>
      </c>
      <c r="E185" s="5" t="s">
        <v>51</v>
      </c>
      <c r="F185" s="5" t="s">
        <v>774</v>
      </c>
      <c r="G185" s="5" t="s">
        <v>53</v>
      </c>
      <c r="H185" s="5" t="s">
        <v>54</v>
      </c>
      <c r="I185" s="5" t="s">
        <v>779</v>
      </c>
      <c r="J185" s="5" t="s">
        <v>56</v>
      </c>
      <c r="K185" s="5" t="s">
        <v>57</v>
      </c>
      <c r="L185" s="5" t="s">
        <v>58</v>
      </c>
      <c r="M185" s="5" t="s">
        <v>59</v>
      </c>
      <c r="N185" s="5" t="s">
        <v>60</v>
      </c>
      <c r="O185" s="5" t="s">
        <v>60</v>
      </c>
      <c r="P185" s="5" t="s">
        <v>61</v>
      </c>
      <c r="Q185" s="5" t="s">
        <v>62</v>
      </c>
      <c r="R185" s="5" t="s">
        <v>63</v>
      </c>
      <c r="S185" s="5" t="s">
        <v>64</v>
      </c>
      <c r="T185" s="5" t="s">
        <v>65</v>
      </c>
      <c r="U185" s="5" t="s">
        <v>66</v>
      </c>
      <c r="V185" s="5" t="s">
        <v>535</v>
      </c>
      <c r="W185" s="5" t="s">
        <v>783</v>
      </c>
      <c r="X185" s="5" t="s">
        <v>207</v>
      </c>
      <c r="Y185" s="5" t="s">
        <v>537</v>
      </c>
      <c r="Z185" s="5" t="s">
        <v>71</v>
      </c>
      <c r="AA185" s="5" t="s">
        <v>87</v>
      </c>
      <c r="AB185" s="5" t="s">
        <v>88</v>
      </c>
      <c r="AC185" s="5" t="s">
        <v>89</v>
      </c>
      <c r="AD185" s="5" t="s">
        <v>75</v>
      </c>
      <c r="AE185" s="5" t="s">
        <v>117</v>
      </c>
      <c r="AF185" s="6">
        <v>4326</v>
      </c>
      <c r="AG185" s="7">
        <v>1</v>
      </c>
      <c r="AH185" s="6">
        <v>4326</v>
      </c>
      <c r="AI185" s="5" t="s">
        <v>154</v>
      </c>
      <c r="AJ185" s="10">
        <v>45931</v>
      </c>
      <c r="AK185" s="5" t="s">
        <v>782</v>
      </c>
      <c r="AL185" s="5" t="s">
        <v>79</v>
      </c>
      <c r="AM185" s="5">
        <v>1619409</v>
      </c>
      <c r="AN185" s="5" t="s">
        <v>80</v>
      </c>
      <c r="AO185" s="5">
        <v>1094010</v>
      </c>
      <c r="AP185" s="5" t="s">
        <v>81</v>
      </c>
      <c r="AQ185" s="5" t="s">
        <v>64</v>
      </c>
      <c r="AR185" s="5" t="s">
        <v>207</v>
      </c>
      <c r="AS185" s="5"/>
      <c r="AT185" s="5"/>
      <c r="AU185" s="5"/>
      <c r="AV185" s="5"/>
      <c r="AW185" s="8"/>
      <c r="AX185" t="s">
        <v>1135</v>
      </c>
      <c r="AY185" t="s">
        <v>2152</v>
      </c>
    </row>
    <row r="186" spans="1:51" x14ac:dyDescent="0.35">
      <c r="A186" s="4" t="s">
        <v>772</v>
      </c>
      <c r="B186" s="5" t="s">
        <v>772</v>
      </c>
      <c r="C186" s="5" t="s">
        <v>773</v>
      </c>
      <c r="D186" s="5" t="s">
        <v>50</v>
      </c>
      <c r="E186" s="5" t="s">
        <v>51</v>
      </c>
      <c r="F186" s="5" t="s">
        <v>774</v>
      </c>
      <c r="G186" s="5" t="s">
        <v>53</v>
      </c>
      <c r="H186" s="5" t="s">
        <v>54</v>
      </c>
      <c r="I186" s="5" t="s">
        <v>784</v>
      </c>
      <c r="J186" s="5" t="s">
        <v>56</v>
      </c>
      <c r="K186" s="5" t="s">
        <v>57</v>
      </c>
      <c r="L186" s="5" t="s">
        <v>58</v>
      </c>
      <c r="M186" s="5" t="s">
        <v>59</v>
      </c>
      <c r="N186" s="5" t="s">
        <v>60</v>
      </c>
      <c r="O186" s="5" t="s">
        <v>60</v>
      </c>
      <c r="P186" s="5" t="s">
        <v>61</v>
      </c>
      <c r="Q186" s="5" t="s">
        <v>62</v>
      </c>
      <c r="R186" s="5" t="s">
        <v>63</v>
      </c>
      <c r="S186" s="5" t="s">
        <v>64</v>
      </c>
      <c r="T186" s="5" t="s">
        <v>65</v>
      </c>
      <c r="U186" s="5" t="s">
        <v>66</v>
      </c>
      <c r="V186" s="5" t="s">
        <v>113</v>
      </c>
      <c r="W186" s="5" t="s">
        <v>114</v>
      </c>
      <c r="X186" s="5" t="s">
        <v>115</v>
      </c>
      <c r="Y186" s="5" t="s">
        <v>116</v>
      </c>
      <c r="Z186" s="5" t="s">
        <v>71</v>
      </c>
      <c r="AA186" s="5" t="s">
        <v>87</v>
      </c>
      <c r="AB186" s="5" t="s">
        <v>88</v>
      </c>
      <c r="AC186" s="5" t="s">
        <v>89</v>
      </c>
      <c r="AD186" s="5" t="s">
        <v>75</v>
      </c>
      <c r="AE186" s="5" t="s">
        <v>117</v>
      </c>
      <c r="AF186" s="6">
        <v>4326</v>
      </c>
      <c r="AG186" s="7">
        <v>1</v>
      </c>
      <c r="AH186" s="6">
        <v>4326</v>
      </c>
      <c r="AI186" s="5" t="s">
        <v>154</v>
      </c>
      <c r="AJ186" s="10">
        <v>45931</v>
      </c>
      <c r="AK186" s="5" t="s">
        <v>785</v>
      </c>
      <c r="AL186" s="5" t="s">
        <v>79</v>
      </c>
      <c r="AM186" s="5">
        <v>1619409</v>
      </c>
      <c r="AN186" s="5" t="s">
        <v>80</v>
      </c>
      <c r="AO186" s="5">
        <v>1094010</v>
      </c>
      <c r="AP186" s="5" t="s">
        <v>81</v>
      </c>
      <c r="AQ186" s="5" t="s">
        <v>64</v>
      </c>
      <c r="AR186" s="5" t="s">
        <v>115</v>
      </c>
      <c r="AS186" s="5"/>
      <c r="AT186" s="5"/>
      <c r="AU186" s="5"/>
      <c r="AV186" s="5"/>
      <c r="AW186" s="8"/>
      <c r="AX186" t="s">
        <v>1135</v>
      </c>
      <c r="AY186" t="s">
        <v>2152</v>
      </c>
    </row>
    <row r="187" spans="1:51" x14ac:dyDescent="0.35">
      <c r="A187" s="4" t="s">
        <v>772</v>
      </c>
      <c r="B187" s="5" t="s">
        <v>772</v>
      </c>
      <c r="C187" s="5" t="s">
        <v>773</v>
      </c>
      <c r="D187" s="5" t="s">
        <v>50</v>
      </c>
      <c r="E187" s="5" t="s">
        <v>51</v>
      </c>
      <c r="F187" s="5" t="s">
        <v>774</v>
      </c>
      <c r="G187" s="5" t="s">
        <v>53</v>
      </c>
      <c r="H187" s="5" t="s">
        <v>54</v>
      </c>
      <c r="I187" s="5" t="s">
        <v>784</v>
      </c>
      <c r="J187" s="5" t="s">
        <v>56</v>
      </c>
      <c r="K187" s="5" t="s">
        <v>57</v>
      </c>
      <c r="L187" s="5" t="s">
        <v>58</v>
      </c>
      <c r="M187" s="5" t="s">
        <v>59</v>
      </c>
      <c r="N187" s="5" t="s">
        <v>60</v>
      </c>
      <c r="O187" s="5" t="s">
        <v>60</v>
      </c>
      <c r="P187" s="5" t="s">
        <v>61</v>
      </c>
      <c r="Q187" s="5" t="s">
        <v>62</v>
      </c>
      <c r="R187" s="5" t="s">
        <v>63</v>
      </c>
      <c r="S187" s="5" t="s">
        <v>64</v>
      </c>
      <c r="T187" s="5" t="s">
        <v>65</v>
      </c>
      <c r="U187" s="5" t="s">
        <v>66</v>
      </c>
      <c r="V187" s="5" t="s">
        <v>786</v>
      </c>
      <c r="W187" s="5" t="s">
        <v>787</v>
      </c>
      <c r="X187" s="5" t="s">
        <v>428</v>
      </c>
      <c r="Y187" s="5" t="s">
        <v>788</v>
      </c>
      <c r="Z187" s="5" t="s">
        <v>71</v>
      </c>
      <c r="AA187" s="5" t="s">
        <v>72</v>
      </c>
      <c r="AB187" s="5" t="s">
        <v>73</v>
      </c>
      <c r="AC187" s="5" t="s">
        <v>74</v>
      </c>
      <c r="AD187" s="5" t="s">
        <v>75</v>
      </c>
      <c r="AE187" s="5" t="s">
        <v>76</v>
      </c>
      <c r="AF187" s="6">
        <v>35203.86</v>
      </c>
      <c r="AG187" s="7">
        <v>1</v>
      </c>
      <c r="AH187" s="6">
        <v>35203.86</v>
      </c>
      <c r="AI187" s="5" t="s">
        <v>789</v>
      </c>
      <c r="AJ187" s="10">
        <v>45931</v>
      </c>
      <c r="AK187" s="5" t="s">
        <v>785</v>
      </c>
      <c r="AL187" s="5" t="s">
        <v>79</v>
      </c>
      <c r="AM187" s="5">
        <v>1619409</v>
      </c>
      <c r="AN187" s="5" t="s">
        <v>80</v>
      </c>
      <c r="AO187" s="5">
        <v>1094010</v>
      </c>
      <c r="AP187" s="5" t="s">
        <v>81</v>
      </c>
      <c r="AQ187" s="5" t="s">
        <v>64</v>
      </c>
      <c r="AR187" s="5" t="s">
        <v>428</v>
      </c>
      <c r="AS187" s="5"/>
      <c r="AT187" s="5"/>
      <c r="AU187" s="5"/>
      <c r="AV187" s="5"/>
      <c r="AW187" s="8"/>
      <c r="AX187" t="s">
        <v>1135</v>
      </c>
      <c r="AY187" t="s">
        <v>2152</v>
      </c>
    </row>
    <row r="188" spans="1:51" x14ac:dyDescent="0.35">
      <c r="A188" s="4" t="s">
        <v>772</v>
      </c>
      <c r="B188" s="5" t="s">
        <v>772</v>
      </c>
      <c r="C188" s="5" t="s">
        <v>790</v>
      </c>
      <c r="D188" s="5" t="s">
        <v>50</v>
      </c>
      <c r="E188" s="5" t="s">
        <v>51</v>
      </c>
      <c r="F188" s="5" t="s">
        <v>774</v>
      </c>
      <c r="G188" s="5" t="s">
        <v>53</v>
      </c>
      <c r="H188" s="5" t="s">
        <v>54</v>
      </c>
      <c r="I188" s="5" t="s">
        <v>791</v>
      </c>
      <c r="J188" s="5" t="s">
        <v>56</v>
      </c>
      <c r="K188" s="5" t="s">
        <v>57</v>
      </c>
      <c r="L188" s="5" t="s">
        <v>58</v>
      </c>
      <c r="M188" s="5" t="s">
        <v>59</v>
      </c>
      <c r="N188" s="5" t="s">
        <v>60</v>
      </c>
      <c r="O188" s="5" t="s">
        <v>60</v>
      </c>
      <c r="P188" s="5" t="s">
        <v>61</v>
      </c>
      <c r="Q188" s="5" t="s">
        <v>62</v>
      </c>
      <c r="R188" s="5" t="s">
        <v>63</v>
      </c>
      <c r="S188" s="5" t="s">
        <v>64</v>
      </c>
      <c r="T188" s="5" t="s">
        <v>65</v>
      </c>
      <c r="U188" s="5" t="s">
        <v>66</v>
      </c>
      <c r="V188" s="5" t="s">
        <v>490</v>
      </c>
      <c r="W188" s="5" t="s">
        <v>776</v>
      </c>
      <c r="X188" s="5" t="s">
        <v>350</v>
      </c>
      <c r="Y188" s="5" t="s">
        <v>493</v>
      </c>
      <c r="Z188" s="5" t="s">
        <v>71</v>
      </c>
      <c r="AA188" s="5" t="s">
        <v>87</v>
      </c>
      <c r="AB188" s="5" t="s">
        <v>104</v>
      </c>
      <c r="AC188" s="5" t="s">
        <v>105</v>
      </c>
      <c r="AD188" s="5" t="s">
        <v>75</v>
      </c>
      <c r="AE188" s="5" t="s">
        <v>170</v>
      </c>
      <c r="AF188" s="6">
        <v>2920</v>
      </c>
      <c r="AG188" s="7">
        <v>1</v>
      </c>
      <c r="AH188" s="6">
        <v>2920</v>
      </c>
      <c r="AI188" s="5" t="s">
        <v>777</v>
      </c>
      <c r="AJ188" s="10">
        <v>45933</v>
      </c>
      <c r="AK188" s="5" t="s">
        <v>792</v>
      </c>
      <c r="AL188" s="5" t="s">
        <v>79</v>
      </c>
      <c r="AM188" s="5">
        <v>1619409</v>
      </c>
      <c r="AN188" s="5" t="s">
        <v>80</v>
      </c>
      <c r="AO188" s="5">
        <v>1094010</v>
      </c>
      <c r="AP188" s="5" t="s">
        <v>81</v>
      </c>
      <c r="AQ188" s="5" t="s">
        <v>64</v>
      </c>
      <c r="AR188" s="5" t="s">
        <v>350</v>
      </c>
      <c r="AS188" s="5"/>
      <c r="AT188" s="5"/>
      <c r="AU188" s="5"/>
      <c r="AV188" s="5"/>
      <c r="AW188" s="8"/>
      <c r="AX188" t="s">
        <v>1135</v>
      </c>
      <c r="AY188" t="s">
        <v>2152</v>
      </c>
    </row>
    <row r="189" spans="1:51" x14ac:dyDescent="0.35">
      <c r="A189" s="4" t="s">
        <v>772</v>
      </c>
      <c r="B189" s="5" t="s">
        <v>772</v>
      </c>
      <c r="C189" s="5" t="s">
        <v>790</v>
      </c>
      <c r="D189" s="5" t="s">
        <v>50</v>
      </c>
      <c r="E189" s="5" t="s">
        <v>51</v>
      </c>
      <c r="F189" s="5" t="s">
        <v>774</v>
      </c>
      <c r="G189" s="5" t="s">
        <v>53</v>
      </c>
      <c r="H189" s="5" t="s">
        <v>54</v>
      </c>
      <c r="I189" s="5" t="s">
        <v>791</v>
      </c>
      <c r="J189" s="5" t="s">
        <v>56</v>
      </c>
      <c r="K189" s="5" t="s">
        <v>57</v>
      </c>
      <c r="L189" s="5" t="s">
        <v>58</v>
      </c>
      <c r="M189" s="5" t="s">
        <v>59</v>
      </c>
      <c r="N189" s="5" t="s">
        <v>60</v>
      </c>
      <c r="O189" s="5" t="s">
        <v>60</v>
      </c>
      <c r="P189" s="5" t="s">
        <v>61</v>
      </c>
      <c r="Q189" s="5" t="s">
        <v>62</v>
      </c>
      <c r="R189" s="5" t="s">
        <v>63</v>
      </c>
      <c r="S189" s="5" t="s">
        <v>64</v>
      </c>
      <c r="T189" s="5" t="s">
        <v>65</v>
      </c>
      <c r="U189" s="5" t="s">
        <v>66</v>
      </c>
      <c r="V189" s="5" t="s">
        <v>472</v>
      </c>
      <c r="W189" s="5" t="s">
        <v>793</v>
      </c>
      <c r="X189" s="5" t="s">
        <v>207</v>
      </c>
      <c r="Y189" s="5" t="s">
        <v>474</v>
      </c>
      <c r="Z189" s="5" t="s">
        <v>71</v>
      </c>
      <c r="AA189" s="5" t="s">
        <v>87</v>
      </c>
      <c r="AB189" s="5" t="s">
        <v>88</v>
      </c>
      <c r="AC189" s="5" t="s">
        <v>89</v>
      </c>
      <c r="AD189" s="5" t="s">
        <v>75</v>
      </c>
      <c r="AE189" s="5" t="s">
        <v>124</v>
      </c>
      <c r="AF189" s="6">
        <v>4326</v>
      </c>
      <c r="AG189" s="7">
        <v>1</v>
      </c>
      <c r="AH189" s="6">
        <v>4326</v>
      </c>
      <c r="AI189" s="5" t="s">
        <v>154</v>
      </c>
      <c r="AJ189" s="10">
        <v>45933</v>
      </c>
      <c r="AK189" s="5" t="s">
        <v>792</v>
      </c>
      <c r="AL189" s="5" t="s">
        <v>79</v>
      </c>
      <c r="AM189" s="5">
        <v>1619409</v>
      </c>
      <c r="AN189" s="5" t="s">
        <v>80</v>
      </c>
      <c r="AO189" s="5">
        <v>1094010</v>
      </c>
      <c r="AP189" s="5" t="s">
        <v>81</v>
      </c>
      <c r="AQ189" s="5" t="s">
        <v>64</v>
      </c>
      <c r="AR189" s="5" t="s">
        <v>207</v>
      </c>
      <c r="AS189" s="5"/>
      <c r="AT189" s="5"/>
      <c r="AU189" s="5"/>
      <c r="AV189" s="5"/>
      <c r="AW189" s="8"/>
      <c r="AX189" t="s">
        <v>1135</v>
      </c>
      <c r="AY189" t="s">
        <v>2152</v>
      </c>
    </row>
    <row r="190" spans="1:51" x14ac:dyDescent="0.35">
      <c r="A190" s="4" t="s">
        <v>772</v>
      </c>
      <c r="B190" s="5" t="s">
        <v>772</v>
      </c>
      <c r="C190" s="5" t="s">
        <v>790</v>
      </c>
      <c r="D190" s="5" t="s">
        <v>50</v>
      </c>
      <c r="E190" s="5" t="s">
        <v>51</v>
      </c>
      <c r="F190" s="5" t="s">
        <v>774</v>
      </c>
      <c r="G190" s="5" t="s">
        <v>53</v>
      </c>
      <c r="H190" s="5" t="s">
        <v>54</v>
      </c>
      <c r="I190" s="5" t="s">
        <v>791</v>
      </c>
      <c r="J190" s="5" t="s">
        <v>56</v>
      </c>
      <c r="K190" s="5" t="s">
        <v>57</v>
      </c>
      <c r="L190" s="5" t="s">
        <v>58</v>
      </c>
      <c r="M190" s="5" t="s">
        <v>59</v>
      </c>
      <c r="N190" s="5" t="s">
        <v>60</v>
      </c>
      <c r="O190" s="5" t="s">
        <v>60</v>
      </c>
      <c r="P190" s="5" t="s">
        <v>61</v>
      </c>
      <c r="Q190" s="5" t="s">
        <v>62</v>
      </c>
      <c r="R190" s="5" t="s">
        <v>63</v>
      </c>
      <c r="S190" s="5" t="s">
        <v>64</v>
      </c>
      <c r="T190" s="5" t="s">
        <v>65</v>
      </c>
      <c r="U190" s="5" t="s">
        <v>66</v>
      </c>
      <c r="V190" s="5" t="s">
        <v>220</v>
      </c>
      <c r="W190" s="5" t="s">
        <v>529</v>
      </c>
      <c r="X190" s="5" t="s">
        <v>85</v>
      </c>
      <c r="Y190" s="5" t="s">
        <v>222</v>
      </c>
      <c r="Z190" s="5" t="s">
        <v>71</v>
      </c>
      <c r="AA190" s="5" t="s">
        <v>72</v>
      </c>
      <c r="AB190" s="5" t="s">
        <v>73</v>
      </c>
      <c r="AC190" s="5" t="s">
        <v>74</v>
      </c>
      <c r="AD190" s="5" t="s">
        <v>75</v>
      </c>
      <c r="AE190" s="5" t="s">
        <v>223</v>
      </c>
      <c r="AF190" s="6">
        <v>35818.480000000003</v>
      </c>
      <c r="AG190" s="7">
        <v>1</v>
      </c>
      <c r="AH190" s="6">
        <v>35818.480000000003</v>
      </c>
      <c r="AI190" s="5" t="s">
        <v>794</v>
      </c>
      <c r="AJ190" s="10">
        <v>45933</v>
      </c>
      <c r="AK190" s="5" t="s">
        <v>792</v>
      </c>
      <c r="AL190" s="5" t="s">
        <v>79</v>
      </c>
      <c r="AM190" s="5">
        <v>1619409</v>
      </c>
      <c r="AN190" s="5" t="s">
        <v>80</v>
      </c>
      <c r="AO190" s="5">
        <v>1094010</v>
      </c>
      <c r="AP190" s="5" t="s">
        <v>81</v>
      </c>
      <c r="AQ190" s="5" t="s">
        <v>64</v>
      </c>
      <c r="AR190" s="5" t="s">
        <v>85</v>
      </c>
      <c r="AS190" s="5"/>
      <c r="AT190" s="5"/>
      <c r="AU190" s="5"/>
      <c r="AV190" s="5"/>
      <c r="AW190" s="8"/>
      <c r="AX190" t="s">
        <v>1135</v>
      </c>
      <c r="AY190" t="s">
        <v>2152</v>
      </c>
    </row>
    <row r="191" spans="1:51" x14ac:dyDescent="0.35">
      <c r="A191" s="4" t="s">
        <v>772</v>
      </c>
      <c r="B191" s="5" t="s">
        <v>772</v>
      </c>
      <c r="C191" s="5" t="s">
        <v>790</v>
      </c>
      <c r="D191" s="5" t="s">
        <v>50</v>
      </c>
      <c r="E191" s="5" t="s">
        <v>51</v>
      </c>
      <c r="F191" s="5" t="s">
        <v>774</v>
      </c>
      <c r="G191" s="5" t="s">
        <v>53</v>
      </c>
      <c r="H191" s="5" t="s">
        <v>54</v>
      </c>
      <c r="I191" s="5" t="s">
        <v>795</v>
      </c>
      <c r="J191" s="5" t="s">
        <v>56</v>
      </c>
      <c r="K191" s="5" t="s">
        <v>57</v>
      </c>
      <c r="L191" s="5" t="s">
        <v>58</v>
      </c>
      <c r="M191" s="5" t="s">
        <v>59</v>
      </c>
      <c r="N191" s="5" t="s">
        <v>60</v>
      </c>
      <c r="O191" s="5" t="s">
        <v>60</v>
      </c>
      <c r="P191" s="5" t="s">
        <v>61</v>
      </c>
      <c r="Q191" s="5" t="s">
        <v>62</v>
      </c>
      <c r="R191" s="5" t="s">
        <v>63</v>
      </c>
      <c r="S191" s="5" t="s">
        <v>64</v>
      </c>
      <c r="T191" s="5" t="s">
        <v>65</v>
      </c>
      <c r="U191" s="5" t="s">
        <v>66</v>
      </c>
      <c r="V191" s="5" t="s">
        <v>240</v>
      </c>
      <c r="W191" s="5" t="s">
        <v>796</v>
      </c>
      <c r="X191" s="5" t="s">
        <v>465</v>
      </c>
      <c r="Y191" s="5" t="s">
        <v>242</v>
      </c>
      <c r="Z191" s="5" t="s">
        <v>71</v>
      </c>
      <c r="AA191" s="5" t="s">
        <v>87</v>
      </c>
      <c r="AB191" s="5" t="s">
        <v>88</v>
      </c>
      <c r="AC191" s="5" t="s">
        <v>89</v>
      </c>
      <c r="AD191" s="5" t="s">
        <v>75</v>
      </c>
      <c r="AE191" s="5" t="s">
        <v>243</v>
      </c>
      <c r="AF191" s="6">
        <v>4000</v>
      </c>
      <c r="AG191" s="7">
        <v>1</v>
      </c>
      <c r="AH191" s="6">
        <v>4000</v>
      </c>
      <c r="AI191" s="5" t="s">
        <v>467</v>
      </c>
      <c r="AJ191" s="10">
        <v>45933</v>
      </c>
      <c r="AK191" s="5" t="s">
        <v>797</v>
      </c>
      <c r="AL191" s="5" t="s">
        <v>79</v>
      </c>
      <c r="AM191" s="5">
        <v>1619409</v>
      </c>
      <c r="AN191" s="5" t="s">
        <v>80</v>
      </c>
      <c r="AO191" s="5">
        <v>1094010</v>
      </c>
      <c r="AP191" s="5" t="s">
        <v>81</v>
      </c>
      <c r="AQ191" s="5" t="s">
        <v>64</v>
      </c>
      <c r="AR191" s="5" t="s">
        <v>465</v>
      </c>
      <c r="AS191" s="5"/>
      <c r="AT191" s="5"/>
      <c r="AU191" s="5"/>
      <c r="AV191" s="5"/>
      <c r="AW191" s="8"/>
      <c r="AX191" t="s">
        <v>1135</v>
      </c>
      <c r="AY191" t="s">
        <v>2152</v>
      </c>
    </row>
    <row r="192" spans="1:51" x14ac:dyDescent="0.35">
      <c r="A192" s="4" t="s">
        <v>772</v>
      </c>
      <c r="B192" s="5" t="s">
        <v>772</v>
      </c>
      <c r="C192" s="5" t="s">
        <v>790</v>
      </c>
      <c r="D192" s="5" t="s">
        <v>50</v>
      </c>
      <c r="E192" s="5" t="s">
        <v>51</v>
      </c>
      <c r="F192" s="5" t="s">
        <v>774</v>
      </c>
      <c r="G192" s="5" t="s">
        <v>53</v>
      </c>
      <c r="H192" s="5" t="s">
        <v>54</v>
      </c>
      <c r="I192" s="5" t="s">
        <v>795</v>
      </c>
      <c r="J192" s="5" t="s">
        <v>56</v>
      </c>
      <c r="K192" s="5" t="s">
        <v>57</v>
      </c>
      <c r="L192" s="5" t="s">
        <v>58</v>
      </c>
      <c r="M192" s="5" t="s">
        <v>59</v>
      </c>
      <c r="N192" s="5" t="s">
        <v>60</v>
      </c>
      <c r="O192" s="5" t="s">
        <v>60</v>
      </c>
      <c r="P192" s="5" t="s">
        <v>61</v>
      </c>
      <c r="Q192" s="5" t="s">
        <v>62</v>
      </c>
      <c r="R192" s="5" t="s">
        <v>63</v>
      </c>
      <c r="S192" s="5" t="s">
        <v>64</v>
      </c>
      <c r="T192" s="5" t="s">
        <v>65</v>
      </c>
      <c r="U192" s="5" t="s">
        <v>66</v>
      </c>
      <c r="V192" s="5" t="s">
        <v>798</v>
      </c>
      <c r="W192" s="5" t="s">
        <v>799</v>
      </c>
      <c r="X192" s="5" t="s">
        <v>218</v>
      </c>
      <c r="Y192" s="5" t="s">
        <v>800</v>
      </c>
      <c r="Z192" s="5" t="s">
        <v>71</v>
      </c>
      <c r="AA192" s="5" t="s">
        <v>87</v>
      </c>
      <c r="AB192" s="5" t="s">
        <v>88</v>
      </c>
      <c r="AC192" s="5" t="s">
        <v>89</v>
      </c>
      <c r="AD192" s="5" t="s">
        <v>75</v>
      </c>
      <c r="AE192" s="5" t="s">
        <v>124</v>
      </c>
      <c r="AF192" s="6">
        <v>4326</v>
      </c>
      <c r="AG192" s="7">
        <v>1</v>
      </c>
      <c r="AH192" s="6">
        <v>4326</v>
      </c>
      <c r="AI192" s="5" t="s">
        <v>801</v>
      </c>
      <c r="AJ192" s="10">
        <v>45933</v>
      </c>
      <c r="AK192" s="5" t="s">
        <v>797</v>
      </c>
      <c r="AL192" s="5" t="s">
        <v>79</v>
      </c>
      <c r="AM192" s="5">
        <v>1619409</v>
      </c>
      <c r="AN192" s="5" t="s">
        <v>80</v>
      </c>
      <c r="AO192" s="5">
        <v>1094010</v>
      </c>
      <c r="AP192" s="5" t="s">
        <v>81</v>
      </c>
      <c r="AQ192" s="5" t="s">
        <v>64</v>
      </c>
      <c r="AR192" s="5" t="s">
        <v>218</v>
      </c>
      <c r="AS192" s="5"/>
      <c r="AT192" s="5"/>
      <c r="AU192" s="5"/>
      <c r="AV192" s="5"/>
      <c r="AW192" s="8"/>
      <c r="AX192" t="s">
        <v>1135</v>
      </c>
      <c r="AY192" t="s">
        <v>2152</v>
      </c>
    </row>
    <row r="193" spans="1:51" x14ac:dyDescent="0.35">
      <c r="A193" s="4" t="s">
        <v>772</v>
      </c>
      <c r="B193" s="5" t="s">
        <v>772</v>
      </c>
      <c r="C193" s="5" t="s">
        <v>790</v>
      </c>
      <c r="D193" s="5" t="s">
        <v>50</v>
      </c>
      <c r="E193" s="5" t="s">
        <v>51</v>
      </c>
      <c r="F193" s="5" t="s">
        <v>774</v>
      </c>
      <c r="G193" s="5" t="s">
        <v>53</v>
      </c>
      <c r="H193" s="5" t="s">
        <v>54</v>
      </c>
      <c r="I193" s="5" t="s">
        <v>795</v>
      </c>
      <c r="J193" s="5" t="s">
        <v>56</v>
      </c>
      <c r="K193" s="5" t="s">
        <v>57</v>
      </c>
      <c r="L193" s="5" t="s">
        <v>58</v>
      </c>
      <c r="M193" s="5" t="s">
        <v>59</v>
      </c>
      <c r="N193" s="5" t="s">
        <v>60</v>
      </c>
      <c r="O193" s="5" t="s">
        <v>60</v>
      </c>
      <c r="P193" s="5" t="s">
        <v>61</v>
      </c>
      <c r="Q193" s="5" t="s">
        <v>62</v>
      </c>
      <c r="R193" s="5" t="s">
        <v>63</v>
      </c>
      <c r="S193" s="5" t="s">
        <v>64</v>
      </c>
      <c r="T193" s="5" t="s">
        <v>65</v>
      </c>
      <c r="U193" s="5" t="s">
        <v>66</v>
      </c>
      <c r="V193" s="5" t="s">
        <v>802</v>
      </c>
      <c r="W193" s="5" t="s">
        <v>803</v>
      </c>
      <c r="X193" s="5" t="s">
        <v>218</v>
      </c>
      <c r="Y193" s="5" t="s">
        <v>804</v>
      </c>
      <c r="Z193" s="5" t="s">
        <v>71</v>
      </c>
      <c r="AA193" s="5" t="s">
        <v>249</v>
      </c>
      <c r="AB193" s="5" t="s">
        <v>250</v>
      </c>
      <c r="AC193" s="5" t="s">
        <v>251</v>
      </c>
      <c r="AD193" s="5" t="s">
        <v>75</v>
      </c>
      <c r="AE193" s="5" t="s">
        <v>315</v>
      </c>
      <c r="AF193" s="6">
        <v>30900</v>
      </c>
      <c r="AG193" s="7">
        <v>1</v>
      </c>
      <c r="AH193" s="6">
        <v>30900</v>
      </c>
      <c r="AI193" s="5" t="s">
        <v>805</v>
      </c>
      <c r="AJ193" s="10">
        <v>45933</v>
      </c>
      <c r="AK193" s="5" t="s">
        <v>797</v>
      </c>
      <c r="AL193" s="5" t="s">
        <v>79</v>
      </c>
      <c r="AM193" s="5">
        <v>1619409</v>
      </c>
      <c r="AN193" s="5" t="s">
        <v>80</v>
      </c>
      <c r="AO193" s="5">
        <v>1094010</v>
      </c>
      <c r="AP193" s="5" t="s">
        <v>81</v>
      </c>
      <c r="AQ193" s="5" t="s">
        <v>64</v>
      </c>
      <c r="AR193" s="5" t="s">
        <v>218</v>
      </c>
      <c r="AS193" s="5"/>
      <c r="AT193" s="5"/>
      <c r="AU193" s="5"/>
      <c r="AV193" s="5"/>
      <c r="AW193" s="8"/>
      <c r="AX193" t="s">
        <v>1135</v>
      </c>
      <c r="AY193" t="s">
        <v>2152</v>
      </c>
    </row>
    <row r="194" spans="1:51" x14ac:dyDescent="0.35">
      <c r="A194" s="4" t="s">
        <v>772</v>
      </c>
      <c r="B194" s="5" t="s">
        <v>772</v>
      </c>
      <c r="C194" s="5" t="s">
        <v>790</v>
      </c>
      <c r="D194" s="5" t="s">
        <v>50</v>
      </c>
      <c r="E194" s="5" t="s">
        <v>51</v>
      </c>
      <c r="F194" s="5" t="s">
        <v>774</v>
      </c>
      <c r="G194" s="5" t="s">
        <v>53</v>
      </c>
      <c r="H194" s="5" t="s">
        <v>54</v>
      </c>
      <c r="I194" s="5" t="s">
        <v>806</v>
      </c>
      <c r="J194" s="5" t="s">
        <v>56</v>
      </c>
      <c r="K194" s="5" t="s">
        <v>57</v>
      </c>
      <c r="L194" s="5" t="s">
        <v>58</v>
      </c>
      <c r="M194" s="5" t="s">
        <v>59</v>
      </c>
      <c r="N194" s="5" t="s">
        <v>60</v>
      </c>
      <c r="O194" s="5" t="s">
        <v>60</v>
      </c>
      <c r="P194" s="5" t="s">
        <v>61</v>
      </c>
      <c r="Q194" s="5" t="s">
        <v>62</v>
      </c>
      <c r="R194" s="5" t="s">
        <v>63</v>
      </c>
      <c r="S194" s="5" t="s">
        <v>64</v>
      </c>
      <c r="T194" s="5" t="s">
        <v>65</v>
      </c>
      <c r="U194" s="5" t="s">
        <v>66</v>
      </c>
      <c r="V194" s="5" t="s">
        <v>212</v>
      </c>
      <c r="W194" s="5" t="s">
        <v>807</v>
      </c>
      <c r="X194" s="5" t="s">
        <v>207</v>
      </c>
      <c r="Y194" s="5" t="s">
        <v>214</v>
      </c>
      <c r="Z194" s="5" t="s">
        <v>71</v>
      </c>
      <c r="AA194" s="5" t="s">
        <v>87</v>
      </c>
      <c r="AB194" s="5" t="s">
        <v>88</v>
      </c>
      <c r="AC194" s="5" t="s">
        <v>89</v>
      </c>
      <c r="AD194" s="5" t="s">
        <v>75</v>
      </c>
      <c r="AE194" s="5" t="s">
        <v>117</v>
      </c>
      <c r="AF194" s="6">
        <v>4326</v>
      </c>
      <c r="AG194" s="7">
        <v>1</v>
      </c>
      <c r="AH194" s="6">
        <v>4326</v>
      </c>
      <c r="AI194" s="5" t="s">
        <v>629</v>
      </c>
      <c r="AJ194" s="10">
        <v>45933</v>
      </c>
      <c r="AK194" s="5" t="s">
        <v>808</v>
      </c>
      <c r="AL194" s="5" t="s">
        <v>79</v>
      </c>
      <c r="AM194" s="5">
        <v>1619409</v>
      </c>
      <c r="AN194" s="5" t="s">
        <v>80</v>
      </c>
      <c r="AO194" s="5">
        <v>1094010</v>
      </c>
      <c r="AP194" s="5" t="s">
        <v>81</v>
      </c>
      <c r="AQ194" s="5" t="s">
        <v>64</v>
      </c>
      <c r="AR194" s="5" t="s">
        <v>207</v>
      </c>
      <c r="AS194" s="5"/>
      <c r="AT194" s="5"/>
      <c r="AU194" s="5"/>
      <c r="AV194" s="5"/>
      <c r="AW194" s="8"/>
      <c r="AX194" t="s">
        <v>1135</v>
      </c>
      <c r="AY194" t="s">
        <v>2152</v>
      </c>
    </row>
    <row r="195" spans="1:51" x14ac:dyDescent="0.35">
      <c r="A195" s="4" t="s">
        <v>772</v>
      </c>
      <c r="B195" s="5" t="s">
        <v>772</v>
      </c>
      <c r="C195" s="5" t="s">
        <v>790</v>
      </c>
      <c r="D195" s="5" t="s">
        <v>50</v>
      </c>
      <c r="E195" s="5" t="s">
        <v>51</v>
      </c>
      <c r="F195" s="5" t="s">
        <v>774</v>
      </c>
      <c r="G195" s="5" t="s">
        <v>53</v>
      </c>
      <c r="H195" s="5" t="s">
        <v>54</v>
      </c>
      <c r="I195" s="5" t="s">
        <v>809</v>
      </c>
      <c r="J195" s="5" t="s">
        <v>56</v>
      </c>
      <c r="K195" s="5" t="s">
        <v>57</v>
      </c>
      <c r="L195" s="5" t="s">
        <v>58</v>
      </c>
      <c r="M195" s="5" t="s">
        <v>59</v>
      </c>
      <c r="N195" s="5" t="s">
        <v>60</v>
      </c>
      <c r="O195" s="5" t="s">
        <v>60</v>
      </c>
      <c r="P195" s="5" t="s">
        <v>61</v>
      </c>
      <c r="Q195" s="5" t="s">
        <v>62</v>
      </c>
      <c r="R195" s="5" t="s">
        <v>63</v>
      </c>
      <c r="S195" s="5" t="s">
        <v>64</v>
      </c>
      <c r="T195" s="5" t="s">
        <v>65</v>
      </c>
      <c r="U195" s="5" t="s">
        <v>66</v>
      </c>
      <c r="V195" s="5" t="s">
        <v>810</v>
      </c>
      <c r="W195" s="5" t="s">
        <v>811</v>
      </c>
      <c r="X195" s="5" t="s">
        <v>129</v>
      </c>
      <c r="Y195" s="5" t="s">
        <v>812</v>
      </c>
      <c r="Z195" s="5" t="s">
        <v>71</v>
      </c>
      <c r="AA195" s="5" t="s">
        <v>72</v>
      </c>
      <c r="AB195" s="5" t="s">
        <v>73</v>
      </c>
      <c r="AC195" s="5" t="s">
        <v>74</v>
      </c>
      <c r="AD195" s="5" t="s">
        <v>75</v>
      </c>
      <c r="AE195" s="5" t="s">
        <v>158</v>
      </c>
      <c r="AF195" s="6">
        <v>35818.480000000003</v>
      </c>
      <c r="AG195" s="7">
        <v>1</v>
      </c>
      <c r="AH195" s="6">
        <v>35818.480000000003</v>
      </c>
      <c r="AI195" s="5" t="s">
        <v>794</v>
      </c>
      <c r="AJ195" s="10">
        <v>45933</v>
      </c>
      <c r="AK195" s="5" t="s">
        <v>813</v>
      </c>
      <c r="AL195" s="5" t="s">
        <v>79</v>
      </c>
      <c r="AM195" s="5">
        <v>1619409</v>
      </c>
      <c r="AN195" s="5" t="s">
        <v>80</v>
      </c>
      <c r="AO195" s="5">
        <v>1094010</v>
      </c>
      <c r="AP195" s="5" t="s">
        <v>81</v>
      </c>
      <c r="AQ195" s="5" t="s">
        <v>64</v>
      </c>
      <c r="AR195" s="5" t="s">
        <v>129</v>
      </c>
      <c r="AS195" s="5"/>
      <c r="AT195" s="5"/>
      <c r="AU195" s="5"/>
      <c r="AV195" s="5"/>
      <c r="AW195" s="8"/>
      <c r="AX195" t="s">
        <v>1135</v>
      </c>
      <c r="AY195" t="s">
        <v>2152</v>
      </c>
    </row>
    <row r="196" spans="1:51" x14ac:dyDescent="0.35">
      <c r="A196" s="4" t="s">
        <v>772</v>
      </c>
      <c r="B196" s="5" t="s">
        <v>772</v>
      </c>
      <c r="C196" s="5" t="s">
        <v>790</v>
      </c>
      <c r="D196" s="5" t="s">
        <v>50</v>
      </c>
      <c r="E196" s="5" t="s">
        <v>51</v>
      </c>
      <c r="F196" s="5" t="s">
        <v>814</v>
      </c>
      <c r="G196" s="5" t="s">
        <v>53</v>
      </c>
      <c r="H196" s="5" t="s">
        <v>54</v>
      </c>
      <c r="I196" s="5" t="s">
        <v>815</v>
      </c>
      <c r="J196" s="5" t="s">
        <v>56</v>
      </c>
      <c r="K196" s="5" t="s">
        <v>57</v>
      </c>
      <c r="L196" s="5" t="s">
        <v>58</v>
      </c>
      <c r="M196" s="5" t="s">
        <v>59</v>
      </c>
      <c r="N196" s="5" t="s">
        <v>60</v>
      </c>
      <c r="O196" s="5" t="s">
        <v>60</v>
      </c>
      <c r="P196" s="5" t="s">
        <v>61</v>
      </c>
      <c r="Q196" s="5" t="s">
        <v>62</v>
      </c>
      <c r="R196" s="5" t="s">
        <v>63</v>
      </c>
      <c r="S196" s="5" t="s">
        <v>64</v>
      </c>
      <c r="T196" s="5" t="s">
        <v>65</v>
      </c>
      <c r="U196" s="5" t="s">
        <v>66</v>
      </c>
      <c r="V196" s="5" t="s">
        <v>197</v>
      </c>
      <c r="W196" s="5" t="s">
        <v>816</v>
      </c>
      <c r="X196" s="5" t="s">
        <v>586</v>
      </c>
      <c r="Y196" s="5" t="s">
        <v>200</v>
      </c>
      <c r="Z196" s="5" t="s">
        <v>71</v>
      </c>
      <c r="AA196" s="5" t="s">
        <v>72</v>
      </c>
      <c r="AB196" s="5" t="s">
        <v>73</v>
      </c>
      <c r="AC196" s="5" t="s">
        <v>74</v>
      </c>
      <c r="AD196" s="5" t="s">
        <v>75</v>
      </c>
      <c r="AE196" s="5" t="s">
        <v>201</v>
      </c>
      <c r="AF196" s="6">
        <v>35203.86</v>
      </c>
      <c r="AG196" s="7">
        <v>1</v>
      </c>
      <c r="AH196" s="6">
        <v>35203.86</v>
      </c>
      <c r="AI196" s="5" t="s">
        <v>610</v>
      </c>
      <c r="AJ196" s="10">
        <v>45933</v>
      </c>
      <c r="AK196" s="5" t="s">
        <v>792</v>
      </c>
      <c r="AL196" s="5" t="s">
        <v>79</v>
      </c>
      <c r="AM196" s="5">
        <v>1619409</v>
      </c>
      <c r="AN196" s="5" t="s">
        <v>80</v>
      </c>
      <c r="AO196" s="5">
        <v>1094010</v>
      </c>
      <c r="AP196" s="5" t="s">
        <v>81</v>
      </c>
      <c r="AQ196" s="5" t="s">
        <v>64</v>
      </c>
      <c r="AR196" s="5" t="s">
        <v>586</v>
      </c>
      <c r="AS196" s="5"/>
      <c r="AT196" s="5"/>
      <c r="AU196" s="5"/>
      <c r="AV196" s="5"/>
      <c r="AW196" s="8"/>
      <c r="AX196" t="s">
        <v>1135</v>
      </c>
      <c r="AY196" t="s">
        <v>2152</v>
      </c>
    </row>
    <row r="197" spans="1:51" x14ac:dyDescent="0.35">
      <c r="A197" s="4" t="s">
        <v>772</v>
      </c>
      <c r="B197" s="5" t="s">
        <v>772</v>
      </c>
      <c r="C197" s="5" t="s">
        <v>817</v>
      </c>
      <c r="D197" s="5" t="s">
        <v>50</v>
      </c>
      <c r="E197" s="5" t="s">
        <v>51</v>
      </c>
      <c r="F197" s="5" t="s">
        <v>774</v>
      </c>
      <c r="G197" s="5" t="s">
        <v>53</v>
      </c>
      <c r="H197" s="5" t="s">
        <v>54</v>
      </c>
      <c r="I197" s="5" t="s">
        <v>818</v>
      </c>
      <c r="J197" s="5" t="s">
        <v>56</v>
      </c>
      <c r="K197" s="5" t="s">
        <v>57</v>
      </c>
      <c r="L197" s="5" t="s">
        <v>58</v>
      </c>
      <c r="M197" s="5" t="s">
        <v>59</v>
      </c>
      <c r="N197" s="5" t="s">
        <v>60</v>
      </c>
      <c r="O197" s="5" t="s">
        <v>60</v>
      </c>
      <c r="P197" s="5" t="s">
        <v>61</v>
      </c>
      <c r="Q197" s="5" t="s">
        <v>62</v>
      </c>
      <c r="R197" s="5" t="s">
        <v>63</v>
      </c>
      <c r="S197" s="5" t="s">
        <v>64</v>
      </c>
      <c r="T197" s="5" t="s">
        <v>65</v>
      </c>
      <c r="U197" s="5" t="s">
        <v>66</v>
      </c>
      <c r="V197" s="5" t="s">
        <v>548</v>
      </c>
      <c r="W197" s="5" t="s">
        <v>819</v>
      </c>
      <c r="X197" s="5" t="s">
        <v>110</v>
      </c>
      <c r="Y197" s="5" t="s">
        <v>550</v>
      </c>
      <c r="Z197" s="5" t="s">
        <v>71</v>
      </c>
      <c r="AA197" s="5" t="s">
        <v>87</v>
      </c>
      <c r="AB197" s="5" t="s">
        <v>88</v>
      </c>
      <c r="AC197" s="5" t="s">
        <v>89</v>
      </c>
      <c r="AD197" s="5" t="s">
        <v>75</v>
      </c>
      <c r="AE197" s="5" t="s">
        <v>117</v>
      </c>
      <c r="AF197" s="6">
        <v>4000</v>
      </c>
      <c r="AG197" s="7">
        <v>1</v>
      </c>
      <c r="AH197" s="6">
        <v>4000</v>
      </c>
      <c r="AI197" s="5" t="s">
        <v>820</v>
      </c>
      <c r="AJ197" s="10">
        <v>45934</v>
      </c>
      <c r="AK197" s="5" t="s">
        <v>821</v>
      </c>
      <c r="AL197" s="5" t="s">
        <v>79</v>
      </c>
      <c r="AM197" s="5">
        <v>1619409</v>
      </c>
      <c r="AN197" s="5" t="s">
        <v>80</v>
      </c>
      <c r="AO197" s="5">
        <v>1094010</v>
      </c>
      <c r="AP197" s="5" t="s">
        <v>81</v>
      </c>
      <c r="AQ197" s="5" t="s">
        <v>64</v>
      </c>
      <c r="AR197" s="5" t="s">
        <v>110</v>
      </c>
      <c r="AS197" s="5"/>
      <c r="AT197" s="5"/>
      <c r="AU197" s="5"/>
      <c r="AV197" s="5"/>
      <c r="AW197" s="8"/>
      <c r="AX197" t="s">
        <v>1135</v>
      </c>
      <c r="AY197" t="s">
        <v>2152</v>
      </c>
    </row>
    <row r="198" spans="1:51" x14ac:dyDescent="0.35">
      <c r="A198" s="4" t="s">
        <v>772</v>
      </c>
      <c r="B198" s="5" t="s">
        <v>772</v>
      </c>
      <c r="C198" s="5" t="s">
        <v>817</v>
      </c>
      <c r="D198" s="5" t="s">
        <v>50</v>
      </c>
      <c r="E198" s="5" t="s">
        <v>51</v>
      </c>
      <c r="F198" s="5" t="s">
        <v>822</v>
      </c>
      <c r="G198" s="5" t="s">
        <v>174</v>
      </c>
      <c r="H198" s="5" t="s">
        <v>54</v>
      </c>
      <c r="I198" s="5" t="s">
        <v>823</v>
      </c>
      <c r="J198" s="5" t="s">
        <v>176</v>
      </c>
      <c r="K198" s="5" t="s">
        <v>177</v>
      </c>
      <c r="L198" s="5" t="s">
        <v>58</v>
      </c>
      <c r="M198" s="5" t="s">
        <v>178</v>
      </c>
      <c r="N198" s="5" t="s">
        <v>60</v>
      </c>
      <c r="O198" s="5" t="s">
        <v>60</v>
      </c>
      <c r="P198" s="5" t="s">
        <v>61</v>
      </c>
      <c r="Q198" s="5" t="s">
        <v>62</v>
      </c>
      <c r="R198" s="5" t="s">
        <v>63</v>
      </c>
      <c r="S198" s="5" t="s">
        <v>64</v>
      </c>
      <c r="T198" s="5" t="s">
        <v>65</v>
      </c>
      <c r="U198" s="5" t="s">
        <v>66</v>
      </c>
      <c r="V198" s="5" t="s">
        <v>824</v>
      </c>
      <c r="W198" s="5" t="s">
        <v>825</v>
      </c>
      <c r="X198" s="5" t="s">
        <v>826</v>
      </c>
      <c r="Y198" s="5" t="s">
        <v>827</v>
      </c>
      <c r="Z198" s="5" t="s">
        <v>174</v>
      </c>
      <c r="AA198" s="5" t="s">
        <v>828</v>
      </c>
      <c r="AB198" s="5" t="s">
        <v>829</v>
      </c>
      <c r="AC198" s="5" t="s">
        <v>829</v>
      </c>
      <c r="AD198" s="5" t="s">
        <v>75</v>
      </c>
      <c r="AE198" s="5" t="s">
        <v>830</v>
      </c>
      <c r="AF198" s="6">
        <v>15857</v>
      </c>
      <c r="AG198" s="7">
        <v>1</v>
      </c>
      <c r="AH198" s="6">
        <v>15857</v>
      </c>
      <c r="AI198" s="5" t="s">
        <v>831</v>
      </c>
      <c r="AJ198" s="10">
        <v>45934</v>
      </c>
      <c r="AK198" s="5" t="s">
        <v>832</v>
      </c>
      <c r="AL198" s="5" t="s">
        <v>188</v>
      </c>
      <c r="AM198" s="5">
        <v>2331362</v>
      </c>
      <c r="AN198" s="5" t="s">
        <v>189</v>
      </c>
      <c r="AO198" s="5">
        <v>1594456</v>
      </c>
      <c r="AP198" s="5" t="s">
        <v>81</v>
      </c>
      <c r="AQ198" s="5" t="s">
        <v>64</v>
      </c>
      <c r="AR198" s="5" t="s">
        <v>826</v>
      </c>
      <c r="AS198" s="5"/>
      <c r="AT198" s="5"/>
      <c r="AU198" s="5"/>
      <c r="AV198" s="5"/>
      <c r="AW198" s="8"/>
      <c r="AX198" t="s">
        <v>1135</v>
      </c>
      <c r="AY198" t="s">
        <v>2191</v>
      </c>
    </row>
    <row r="199" spans="1:51" x14ac:dyDescent="0.35">
      <c r="A199" s="4" t="s">
        <v>772</v>
      </c>
      <c r="B199" s="5" t="s">
        <v>772</v>
      </c>
      <c r="C199" s="5" t="s">
        <v>833</v>
      </c>
      <c r="D199" s="5" t="s">
        <v>50</v>
      </c>
      <c r="E199" s="5" t="s">
        <v>51</v>
      </c>
      <c r="F199" s="5" t="s">
        <v>774</v>
      </c>
      <c r="G199" s="5" t="s">
        <v>53</v>
      </c>
      <c r="H199" s="5" t="s">
        <v>54</v>
      </c>
      <c r="I199" s="5" t="s">
        <v>834</v>
      </c>
      <c r="J199" s="5" t="s">
        <v>56</v>
      </c>
      <c r="K199" s="5" t="s">
        <v>57</v>
      </c>
      <c r="L199" s="5" t="s">
        <v>58</v>
      </c>
      <c r="M199" s="5" t="s">
        <v>59</v>
      </c>
      <c r="N199" s="5" t="s">
        <v>60</v>
      </c>
      <c r="O199" s="5" t="s">
        <v>60</v>
      </c>
      <c r="P199" s="5" t="s">
        <v>61</v>
      </c>
      <c r="Q199" s="5" t="s">
        <v>62</v>
      </c>
      <c r="R199" s="5" t="s">
        <v>63</v>
      </c>
      <c r="S199" s="5" t="s">
        <v>64</v>
      </c>
      <c r="T199" s="5" t="s">
        <v>65</v>
      </c>
      <c r="U199" s="5" t="s">
        <v>66</v>
      </c>
      <c r="V199" s="5" t="s">
        <v>516</v>
      </c>
      <c r="W199" s="5" t="s">
        <v>835</v>
      </c>
      <c r="X199" s="5" t="s">
        <v>826</v>
      </c>
      <c r="Y199" s="5" t="s">
        <v>519</v>
      </c>
      <c r="Z199" s="5" t="s">
        <v>71</v>
      </c>
      <c r="AA199" s="5" t="s">
        <v>87</v>
      </c>
      <c r="AB199" s="5" t="s">
        <v>104</v>
      </c>
      <c r="AC199" s="5" t="s">
        <v>105</v>
      </c>
      <c r="AD199" s="5" t="s">
        <v>75</v>
      </c>
      <c r="AE199" s="5" t="s">
        <v>263</v>
      </c>
      <c r="AF199" s="6">
        <v>2920</v>
      </c>
      <c r="AG199" s="7">
        <v>1</v>
      </c>
      <c r="AH199" s="6">
        <v>2920</v>
      </c>
      <c r="AI199" s="5" t="s">
        <v>836</v>
      </c>
      <c r="AJ199" s="10">
        <v>45936</v>
      </c>
      <c r="AK199" s="5" t="s">
        <v>837</v>
      </c>
      <c r="AL199" s="5" t="s">
        <v>79</v>
      </c>
      <c r="AM199" s="5">
        <v>1619409</v>
      </c>
      <c r="AN199" s="5" t="s">
        <v>80</v>
      </c>
      <c r="AO199" s="5">
        <v>1094010</v>
      </c>
      <c r="AP199" s="5" t="s">
        <v>81</v>
      </c>
      <c r="AQ199" s="5" t="s">
        <v>64</v>
      </c>
      <c r="AR199" s="5" t="s">
        <v>826</v>
      </c>
      <c r="AS199" s="5"/>
      <c r="AT199" s="5"/>
      <c r="AU199" s="5"/>
      <c r="AV199" s="5"/>
      <c r="AW199" s="8"/>
      <c r="AX199" t="s">
        <v>1135</v>
      </c>
      <c r="AY199" t="s">
        <v>2152</v>
      </c>
    </row>
    <row r="200" spans="1:51" x14ac:dyDescent="0.35">
      <c r="A200" s="4" t="s">
        <v>772</v>
      </c>
      <c r="B200" s="5" t="s">
        <v>772</v>
      </c>
      <c r="C200" s="5" t="s">
        <v>833</v>
      </c>
      <c r="D200" s="5" t="s">
        <v>50</v>
      </c>
      <c r="E200" s="5" t="s">
        <v>51</v>
      </c>
      <c r="F200" s="5" t="s">
        <v>774</v>
      </c>
      <c r="G200" s="5" t="s">
        <v>53</v>
      </c>
      <c r="H200" s="5" t="s">
        <v>54</v>
      </c>
      <c r="I200" s="5" t="s">
        <v>838</v>
      </c>
      <c r="J200" s="5" t="s">
        <v>56</v>
      </c>
      <c r="K200" s="5" t="s">
        <v>57</v>
      </c>
      <c r="L200" s="5" t="s">
        <v>58</v>
      </c>
      <c r="M200" s="5" t="s">
        <v>59</v>
      </c>
      <c r="N200" s="5" t="s">
        <v>60</v>
      </c>
      <c r="O200" s="5" t="s">
        <v>60</v>
      </c>
      <c r="P200" s="5" t="s">
        <v>61</v>
      </c>
      <c r="Q200" s="5" t="s">
        <v>62</v>
      </c>
      <c r="R200" s="5" t="s">
        <v>63</v>
      </c>
      <c r="S200" s="5" t="s">
        <v>64</v>
      </c>
      <c r="T200" s="5" t="s">
        <v>65</v>
      </c>
      <c r="U200" s="5" t="s">
        <v>66</v>
      </c>
      <c r="V200" s="5" t="s">
        <v>535</v>
      </c>
      <c r="W200" s="5" t="s">
        <v>783</v>
      </c>
      <c r="X200" s="5" t="s">
        <v>207</v>
      </c>
      <c r="Y200" s="5" t="s">
        <v>537</v>
      </c>
      <c r="Z200" s="5" t="s">
        <v>71</v>
      </c>
      <c r="AA200" s="5" t="s">
        <v>87</v>
      </c>
      <c r="AB200" s="5" t="s">
        <v>88</v>
      </c>
      <c r="AC200" s="5" t="s">
        <v>89</v>
      </c>
      <c r="AD200" s="5" t="s">
        <v>75</v>
      </c>
      <c r="AE200" s="5" t="s">
        <v>117</v>
      </c>
      <c r="AF200" s="6">
        <v>4326</v>
      </c>
      <c r="AG200" s="7">
        <v>1</v>
      </c>
      <c r="AH200" s="6">
        <v>4326</v>
      </c>
      <c r="AI200" s="5" t="s">
        <v>154</v>
      </c>
      <c r="AJ200" s="10">
        <v>45936</v>
      </c>
      <c r="AK200" s="5" t="s">
        <v>839</v>
      </c>
      <c r="AL200" s="5" t="s">
        <v>79</v>
      </c>
      <c r="AM200" s="5">
        <v>1619409</v>
      </c>
      <c r="AN200" s="5" t="s">
        <v>80</v>
      </c>
      <c r="AO200" s="5">
        <v>1094010</v>
      </c>
      <c r="AP200" s="5" t="s">
        <v>81</v>
      </c>
      <c r="AQ200" s="5" t="s">
        <v>64</v>
      </c>
      <c r="AR200" s="5" t="s">
        <v>207</v>
      </c>
      <c r="AS200" s="5"/>
      <c r="AT200" s="5"/>
      <c r="AU200" s="5"/>
      <c r="AV200" s="5"/>
      <c r="AW200" s="8"/>
      <c r="AX200" t="s">
        <v>1135</v>
      </c>
      <c r="AY200" t="s">
        <v>2152</v>
      </c>
    </row>
    <row r="201" spans="1:51" x14ac:dyDescent="0.35">
      <c r="A201" s="4" t="s">
        <v>772</v>
      </c>
      <c r="B201" s="5" t="s">
        <v>772</v>
      </c>
      <c r="C201" s="5" t="s">
        <v>833</v>
      </c>
      <c r="D201" s="5" t="s">
        <v>50</v>
      </c>
      <c r="E201" s="5" t="s">
        <v>51</v>
      </c>
      <c r="F201" s="5" t="s">
        <v>774</v>
      </c>
      <c r="G201" s="5" t="s">
        <v>53</v>
      </c>
      <c r="H201" s="5" t="s">
        <v>54</v>
      </c>
      <c r="I201" s="5" t="s">
        <v>840</v>
      </c>
      <c r="J201" s="5" t="s">
        <v>56</v>
      </c>
      <c r="K201" s="5" t="s">
        <v>57</v>
      </c>
      <c r="L201" s="5" t="s">
        <v>58</v>
      </c>
      <c r="M201" s="5" t="s">
        <v>59</v>
      </c>
      <c r="N201" s="5" t="s">
        <v>60</v>
      </c>
      <c r="O201" s="5" t="s">
        <v>60</v>
      </c>
      <c r="P201" s="5" t="s">
        <v>61</v>
      </c>
      <c r="Q201" s="5" t="s">
        <v>62</v>
      </c>
      <c r="R201" s="5" t="s">
        <v>63</v>
      </c>
      <c r="S201" s="5" t="s">
        <v>64</v>
      </c>
      <c r="T201" s="5" t="s">
        <v>65</v>
      </c>
      <c r="U201" s="5" t="s">
        <v>66</v>
      </c>
      <c r="V201" s="5" t="s">
        <v>746</v>
      </c>
      <c r="W201" s="5" t="s">
        <v>841</v>
      </c>
      <c r="X201" s="5" t="s">
        <v>207</v>
      </c>
      <c r="Y201" s="5" t="s">
        <v>748</v>
      </c>
      <c r="Z201" s="5" t="s">
        <v>71</v>
      </c>
      <c r="AA201" s="5" t="s">
        <v>249</v>
      </c>
      <c r="AB201" s="5" t="s">
        <v>250</v>
      </c>
      <c r="AC201" s="5" t="s">
        <v>251</v>
      </c>
      <c r="AD201" s="5" t="s">
        <v>75</v>
      </c>
      <c r="AE201" s="5" t="s">
        <v>252</v>
      </c>
      <c r="AF201" s="6">
        <v>30900</v>
      </c>
      <c r="AG201" s="7">
        <v>1</v>
      </c>
      <c r="AH201" s="6">
        <v>30900</v>
      </c>
      <c r="AI201" s="5" t="s">
        <v>352</v>
      </c>
      <c r="AJ201" s="10">
        <v>45936</v>
      </c>
      <c r="AK201" s="5" t="s">
        <v>842</v>
      </c>
      <c r="AL201" s="5" t="s">
        <v>79</v>
      </c>
      <c r="AM201" s="5">
        <v>1619409</v>
      </c>
      <c r="AN201" s="5" t="s">
        <v>80</v>
      </c>
      <c r="AO201" s="5">
        <v>1094010</v>
      </c>
      <c r="AP201" s="5" t="s">
        <v>81</v>
      </c>
      <c r="AQ201" s="5" t="s">
        <v>64</v>
      </c>
      <c r="AR201" s="5" t="s">
        <v>207</v>
      </c>
      <c r="AS201" s="5"/>
      <c r="AT201" s="5"/>
      <c r="AU201" s="5"/>
      <c r="AV201" s="5"/>
      <c r="AW201" s="8"/>
      <c r="AX201" t="s">
        <v>1135</v>
      </c>
      <c r="AY201" t="s">
        <v>2152</v>
      </c>
    </row>
    <row r="202" spans="1:51" x14ac:dyDescent="0.35">
      <c r="A202" s="4" t="s">
        <v>772</v>
      </c>
      <c r="B202" s="5" t="s">
        <v>772</v>
      </c>
      <c r="C202" s="5" t="s">
        <v>833</v>
      </c>
      <c r="D202" s="5" t="s">
        <v>50</v>
      </c>
      <c r="E202" s="5" t="s">
        <v>51</v>
      </c>
      <c r="F202" s="5" t="s">
        <v>774</v>
      </c>
      <c r="G202" s="5" t="s">
        <v>53</v>
      </c>
      <c r="H202" s="5" t="s">
        <v>54</v>
      </c>
      <c r="I202" s="5" t="s">
        <v>840</v>
      </c>
      <c r="J202" s="5" t="s">
        <v>56</v>
      </c>
      <c r="K202" s="5" t="s">
        <v>57</v>
      </c>
      <c r="L202" s="5" t="s">
        <v>58</v>
      </c>
      <c r="M202" s="5" t="s">
        <v>59</v>
      </c>
      <c r="N202" s="5" t="s">
        <v>60</v>
      </c>
      <c r="O202" s="5" t="s">
        <v>60</v>
      </c>
      <c r="P202" s="5" t="s">
        <v>61</v>
      </c>
      <c r="Q202" s="5" t="s">
        <v>62</v>
      </c>
      <c r="R202" s="5" t="s">
        <v>63</v>
      </c>
      <c r="S202" s="5" t="s">
        <v>64</v>
      </c>
      <c r="T202" s="5" t="s">
        <v>65</v>
      </c>
      <c r="U202" s="5" t="s">
        <v>66</v>
      </c>
      <c r="V202" s="5" t="s">
        <v>406</v>
      </c>
      <c r="W202" s="5" t="s">
        <v>843</v>
      </c>
      <c r="X202" s="5" t="s">
        <v>85</v>
      </c>
      <c r="Y202" s="5" t="s">
        <v>408</v>
      </c>
      <c r="Z202" s="5" t="s">
        <v>71</v>
      </c>
      <c r="AA202" s="5" t="s">
        <v>72</v>
      </c>
      <c r="AB202" s="5" t="s">
        <v>73</v>
      </c>
      <c r="AC202" s="5" t="s">
        <v>74</v>
      </c>
      <c r="AD202" s="5" t="s">
        <v>75</v>
      </c>
      <c r="AE202" s="5" t="s">
        <v>223</v>
      </c>
      <c r="AF202" s="6">
        <v>35818.480000000003</v>
      </c>
      <c r="AG202" s="7">
        <v>1</v>
      </c>
      <c r="AH202" s="6">
        <v>35818.480000000003</v>
      </c>
      <c r="AI202" s="5" t="s">
        <v>345</v>
      </c>
      <c r="AJ202" s="10">
        <v>45936</v>
      </c>
      <c r="AK202" s="5" t="s">
        <v>842</v>
      </c>
      <c r="AL202" s="5" t="s">
        <v>79</v>
      </c>
      <c r="AM202" s="5">
        <v>1619409</v>
      </c>
      <c r="AN202" s="5" t="s">
        <v>80</v>
      </c>
      <c r="AO202" s="5">
        <v>1094010</v>
      </c>
      <c r="AP202" s="5" t="s">
        <v>81</v>
      </c>
      <c r="AQ202" s="5" t="s">
        <v>64</v>
      </c>
      <c r="AR202" s="5" t="s">
        <v>85</v>
      </c>
      <c r="AS202" s="5"/>
      <c r="AT202" s="5"/>
      <c r="AU202" s="5"/>
      <c r="AV202" s="5"/>
      <c r="AW202" s="8"/>
      <c r="AX202" t="s">
        <v>1135</v>
      </c>
      <c r="AY202" t="s">
        <v>2152</v>
      </c>
    </row>
    <row r="203" spans="1:51" x14ac:dyDescent="0.35">
      <c r="A203" s="4" t="s">
        <v>772</v>
      </c>
      <c r="B203" s="5" t="s">
        <v>772</v>
      </c>
      <c r="C203" s="5" t="s">
        <v>833</v>
      </c>
      <c r="D203" s="5" t="s">
        <v>50</v>
      </c>
      <c r="E203" s="5" t="s">
        <v>51</v>
      </c>
      <c r="F203" s="5" t="s">
        <v>774</v>
      </c>
      <c r="G203" s="5" t="s">
        <v>53</v>
      </c>
      <c r="H203" s="5" t="s">
        <v>54</v>
      </c>
      <c r="I203" s="5" t="s">
        <v>840</v>
      </c>
      <c r="J203" s="5" t="s">
        <v>56</v>
      </c>
      <c r="K203" s="5" t="s">
        <v>57</v>
      </c>
      <c r="L203" s="5" t="s">
        <v>58</v>
      </c>
      <c r="M203" s="5" t="s">
        <v>59</v>
      </c>
      <c r="N203" s="5" t="s">
        <v>60</v>
      </c>
      <c r="O203" s="5" t="s">
        <v>60</v>
      </c>
      <c r="P203" s="5" t="s">
        <v>61</v>
      </c>
      <c r="Q203" s="5" t="s">
        <v>62</v>
      </c>
      <c r="R203" s="5" t="s">
        <v>63</v>
      </c>
      <c r="S203" s="5" t="s">
        <v>64</v>
      </c>
      <c r="T203" s="5" t="s">
        <v>65</v>
      </c>
      <c r="U203" s="5" t="s">
        <v>66</v>
      </c>
      <c r="V203" s="5" t="s">
        <v>337</v>
      </c>
      <c r="W203" s="5" t="s">
        <v>338</v>
      </c>
      <c r="X203" s="5" t="s">
        <v>138</v>
      </c>
      <c r="Y203" s="5" t="s">
        <v>339</v>
      </c>
      <c r="Z203" s="5" t="s">
        <v>71</v>
      </c>
      <c r="AA203" s="5" t="s">
        <v>72</v>
      </c>
      <c r="AB203" s="5" t="s">
        <v>73</v>
      </c>
      <c r="AC203" s="5" t="s">
        <v>228</v>
      </c>
      <c r="AD203" s="5" t="s">
        <v>75</v>
      </c>
      <c r="AE203" s="5" t="s">
        <v>340</v>
      </c>
      <c r="AF203" s="6">
        <v>35818.480000000003</v>
      </c>
      <c r="AG203" s="7">
        <v>1</v>
      </c>
      <c r="AH203" s="6">
        <v>35818.480000000003</v>
      </c>
      <c r="AI203" s="5" t="s">
        <v>844</v>
      </c>
      <c r="AJ203" s="10">
        <v>45936</v>
      </c>
      <c r="AK203" s="5" t="s">
        <v>842</v>
      </c>
      <c r="AL203" s="5" t="s">
        <v>79</v>
      </c>
      <c r="AM203" s="5">
        <v>1619409</v>
      </c>
      <c r="AN203" s="5" t="s">
        <v>80</v>
      </c>
      <c r="AO203" s="5">
        <v>1094010</v>
      </c>
      <c r="AP203" s="5" t="s">
        <v>81</v>
      </c>
      <c r="AQ203" s="5" t="s">
        <v>64</v>
      </c>
      <c r="AR203" s="5" t="s">
        <v>138</v>
      </c>
      <c r="AS203" s="5"/>
      <c r="AT203" s="5"/>
      <c r="AU203" s="5"/>
      <c r="AV203" s="5"/>
      <c r="AW203" s="8"/>
      <c r="AX203" t="s">
        <v>1135</v>
      </c>
      <c r="AY203" t="s">
        <v>2152</v>
      </c>
    </row>
    <row r="204" spans="1:51" x14ac:dyDescent="0.35">
      <c r="A204" s="4" t="s">
        <v>772</v>
      </c>
      <c r="B204" s="5" t="s">
        <v>772</v>
      </c>
      <c r="C204" s="5" t="s">
        <v>833</v>
      </c>
      <c r="D204" s="5" t="s">
        <v>50</v>
      </c>
      <c r="E204" s="5" t="s">
        <v>51</v>
      </c>
      <c r="F204" s="5" t="s">
        <v>774</v>
      </c>
      <c r="G204" s="5" t="s">
        <v>53</v>
      </c>
      <c r="H204" s="5" t="s">
        <v>54</v>
      </c>
      <c r="I204" s="5" t="s">
        <v>840</v>
      </c>
      <c r="J204" s="5" t="s">
        <v>56</v>
      </c>
      <c r="K204" s="5" t="s">
        <v>57</v>
      </c>
      <c r="L204" s="5" t="s">
        <v>58</v>
      </c>
      <c r="M204" s="5" t="s">
        <v>59</v>
      </c>
      <c r="N204" s="5" t="s">
        <v>60</v>
      </c>
      <c r="O204" s="5" t="s">
        <v>60</v>
      </c>
      <c r="P204" s="5" t="s">
        <v>61</v>
      </c>
      <c r="Q204" s="5" t="s">
        <v>62</v>
      </c>
      <c r="R204" s="5" t="s">
        <v>63</v>
      </c>
      <c r="S204" s="5" t="s">
        <v>64</v>
      </c>
      <c r="T204" s="5" t="s">
        <v>65</v>
      </c>
      <c r="U204" s="5" t="s">
        <v>66</v>
      </c>
      <c r="V204" s="5" t="s">
        <v>363</v>
      </c>
      <c r="W204" s="5" t="s">
        <v>845</v>
      </c>
      <c r="X204" s="5" t="s">
        <v>207</v>
      </c>
      <c r="Y204" s="5" t="s">
        <v>365</v>
      </c>
      <c r="Z204" s="5" t="s">
        <v>71</v>
      </c>
      <c r="AA204" s="5" t="s">
        <v>366</v>
      </c>
      <c r="AB204" s="5" t="s">
        <v>367</v>
      </c>
      <c r="AC204" s="5" t="s">
        <v>368</v>
      </c>
      <c r="AD204" s="5" t="s">
        <v>75</v>
      </c>
      <c r="AE204" s="5" t="s">
        <v>369</v>
      </c>
      <c r="AF204" s="6">
        <v>35226</v>
      </c>
      <c r="AG204" s="7">
        <v>1</v>
      </c>
      <c r="AH204" s="6">
        <v>35226</v>
      </c>
      <c r="AI204" s="5" t="s">
        <v>154</v>
      </c>
      <c r="AJ204" s="10">
        <v>45936</v>
      </c>
      <c r="AK204" s="5" t="s">
        <v>842</v>
      </c>
      <c r="AL204" s="5" t="s">
        <v>79</v>
      </c>
      <c r="AM204" s="5">
        <v>1619409</v>
      </c>
      <c r="AN204" s="5" t="s">
        <v>80</v>
      </c>
      <c r="AO204" s="5">
        <v>1094010</v>
      </c>
      <c r="AP204" s="5" t="s">
        <v>81</v>
      </c>
      <c r="AQ204" s="5" t="s">
        <v>64</v>
      </c>
      <c r="AR204" s="5" t="s">
        <v>207</v>
      </c>
      <c r="AS204" s="5"/>
      <c r="AT204" s="5"/>
      <c r="AU204" s="5"/>
      <c r="AV204" s="5"/>
      <c r="AW204" s="8"/>
      <c r="AX204" t="s">
        <v>1135</v>
      </c>
      <c r="AY204" t="s">
        <v>2152</v>
      </c>
    </row>
    <row r="205" spans="1:51" x14ac:dyDescent="0.35">
      <c r="A205" s="4" t="s">
        <v>772</v>
      </c>
      <c r="B205" s="5" t="s">
        <v>772</v>
      </c>
      <c r="C205" s="5" t="s">
        <v>846</v>
      </c>
      <c r="D205" s="5" t="s">
        <v>50</v>
      </c>
      <c r="E205" s="5" t="s">
        <v>51</v>
      </c>
      <c r="F205" s="5" t="s">
        <v>774</v>
      </c>
      <c r="G205" s="5" t="s">
        <v>53</v>
      </c>
      <c r="H205" s="5" t="s">
        <v>54</v>
      </c>
      <c r="I205" s="5" t="s">
        <v>847</v>
      </c>
      <c r="J205" s="5" t="s">
        <v>56</v>
      </c>
      <c r="K205" s="5" t="s">
        <v>57</v>
      </c>
      <c r="L205" s="5" t="s">
        <v>58</v>
      </c>
      <c r="M205" s="5" t="s">
        <v>59</v>
      </c>
      <c r="N205" s="5" t="s">
        <v>60</v>
      </c>
      <c r="O205" s="5" t="s">
        <v>60</v>
      </c>
      <c r="P205" s="5" t="s">
        <v>61</v>
      </c>
      <c r="Q205" s="5" t="s">
        <v>62</v>
      </c>
      <c r="R205" s="5" t="s">
        <v>63</v>
      </c>
      <c r="S205" s="5" t="s">
        <v>64</v>
      </c>
      <c r="T205" s="5" t="s">
        <v>65</v>
      </c>
      <c r="U205" s="5" t="s">
        <v>66</v>
      </c>
      <c r="V205" s="5" t="s">
        <v>216</v>
      </c>
      <c r="W205" s="5" t="s">
        <v>848</v>
      </c>
      <c r="X205" s="5" t="s">
        <v>218</v>
      </c>
      <c r="Y205" s="5" t="s">
        <v>219</v>
      </c>
      <c r="Z205" s="5" t="s">
        <v>71</v>
      </c>
      <c r="AA205" s="5" t="s">
        <v>87</v>
      </c>
      <c r="AB205" s="5" t="s">
        <v>88</v>
      </c>
      <c r="AC205" s="5" t="s">
        <v>89</v>
      </c>
      <c r="AD205" s="5" t="s">
        <v>75</v>
      </c>
      <c r="AE205" s="5" t="s">
        <v>124</v>
      </c>
      <c r="AF205" s="6">
        <v>4326</v>
      </c>
      <c r="AG205" s="7">
        <v>1</v>
      </c>
      <c r="AH205" s="6">
        <v>4326</v>
      </c>
      <c r="AI205" s="5" t="s">
        <v>581</v>
      </c>
      <c r="AJ205" s="10">
        <v>45937</v>
      </c>
      <c r="AK205" s="5" t="s">
        <v>849</v>
      </c>
      <c r="AL205" s="5" t="s">
        <v>79</v>
      </c>
      <c r="AM205" s="5">
        <v>1619409</v>
      </c>
      <c r="AN205" s="5" t="s">
        <v>80</v>
      </c>
      <c r="AO205" s="5">
        <v>1094010</v>
      </c>
      <c r="AP205" s="5" t="s">
        <v>81</v>
      </c>
      <c r="AQ205" s="5" t="s">
        <v>64</v>
      </c>
      <c r="AR205" s="5" t="s">
        <v>218</v>
      </c>
      <c r="AS205" s="5"/>
      <c r="AT205" s="5"/>
      <c r="AU205" s="5"/>
      <c r="AV205" s="5"/>
      <c r="AW205" s="8"/>
      <c r="AX205" t="s">
        <v>1135</v>
      </c>
      <c r="AY205" t="s">
        <v>2152</v>
      </c>
    </row>
    <row r="206" spans="1:51" x14ac:dyDescent="0.35">
      <c r="A206" s="4" t="s">
        <v>772</v>
      </c>
      <c r="B206" s="5" t="s">
        <v>772</v>
      </c>
      <c r="C206" s="5" t="s">
        <v>846</v>
      </c>
      <c r="D206" s="5" t="s">
        <v>50</v>
      </c>
      <c r="E206" s="5" t="s">
        <v>51</v>
      </c>
      <c r="F206" s="5" t="s">
        <v>774</v>
      </c>
      <c r="G206" s="5" t="s">
        <v>53</v>
      </c>
      <c r="H206" s="5" t="s">
        <v>54</v>
      </c>
      <c r="I206" s="5" t="s">
        <v>847</v>
      </c>
      <c r="J206" s="5" t="s">
        <v>56</v>
      </c>
      <c r="K206" s="5" t="s">
        <v>57</v>
      </c>
      <c r="L206" s="5" t="s">
        <v>58</v>
      </c>
      <c r="M206" s="5" t="s">
        <v>59</v>
      </c>
      <c r="N206" s="5" t="s">
        <v>60</v>
      </c>
      <c r="O206" s="5" t="s">
        <v>60</v>
      </c>
      <c r="P206" s="5" t="s">
        <v>61</v>
      </c>
      <c r="Q206" s="5" t="s">
        <v>62</v>
      </c>
      <c r="R206" s="5" t="s">
        <v>63</v>
      </c>
      <c r="S206" s="5" t="s">
        <v>64</v>
      </c>
      <c r="T206" s="5" t="s">
        <v>65</v>
      </c>
      <c r="U206" s="5" t="s">
        <v>66</v>
      </c>
      <c r="V206" s="5" t="s">
        <v>850</v>
      </c>
      <c r="W206" s="5" t="s">
        <v>851</v>
      </c>
      <c r="X206" s="5" t="s">
        <v>69</v>
      </c>
      <c r="Y206" s="5" t="s">
        <v>852</v>
      </c>
      <c r="Z206" s="5" t="s">
        <v>71</v>
      </c>
      <c r="AA206" s="5" t="s">
        <v>72</v>
      </c>
      <c r="AB206" s="5" t="s">
        <v>73</v>
      </c>
      <c r="AC206" s="5" t="s">
        <v>74</v>
      </c>
      <c r="AD206" s="5" t="s">
        <v>75</v>
      </c>
      <c r="AE206" s="5" t="s">
        <v>201</v>
      </c>
      <c r="AF206" s="6">
        <v>35203.86</v>
      </c>
      <c r="AG206" s="7">
        <v>1</v>
      </c>
      <c r="AH206" s="6">
        <v>35203.86</v>
      </c>
      <c r="AI206" s="5" t="s">
        <v>77</v>
      </c>
      <c r="AJ206" s="10">
        <v>45937</v>
      </c>
      <c r="AK206" s="5" t="s">
        <v>849</v>
      </c>
      <c r="AL206" s="5" t="s">
        <v>79</v>
      </c>
      <c r="AM206" s="5">
        <v>1619409</v>
      </c>
      <c r="AN206" s="5" t="s">
        <v>80</v>
      </c>
      <c r="AO206" s="5">
        <v>1094010</v>
      </c>
      <c r="AP206" s="5" t="s">
        <v>81</v>
      </c>
      <c r="AQ206" s="5" t="s">
        <v>64</v>
      </c>
      <c r="AR206" s="5" t="s">
        <v>69</v>
      </c>
      <c r="AS206" s="5"/>
      <c r="AT206" s="5"/>
      <c r="AU206" s="5"/>
      <c r="AV206" s="5"/>
      <c r="AW206" s="8"/>
      <c r="AX206" t="s">
        <v>1135</v>
      </c>
      <c r="AY206" t="s">
        <v>2152</v>
      </c>
    </row>
    <row r="207" spans="1:51" x14ac:dyDescent="0.35">
      <c r="A207" s="4" t="s">
        <v>772</v>
      </c>
      <c r="B207" s="5" t="s">
        <v>772</v>
      </c>
      <c r="C207" s="5" t="s">
        <v>846</v>
      </c>
      <c r="D207" s="5" t="s">
        <v>50</v>
      </c>
      <c r="E207" s="5" t="s">
        <v>51</v>
      </c>
      <c r="F207" s="5" t="s">
        <v>774</v>
      </c>
      <c r="G207" s="5" t="s">
        <v>53</v>
      </c>
      <c r="H207" s="5" t="s">
        <v>54</v>
      </c>
      <c r="I207" s="5" t="s">
        <v>853</v>
      </c>
      <c r="J207" s="5" t="s">
        <v>56</v>
      </c>
      <c r="K207" s="5" t="s">
        <v>57</v>
      </c>
      <c r="L207" s="5" t="s">
        <v>58</v>
      </c>
      <c r="M207" s="5" t="s">
        <v>59</v>
      </c>
      <c r="N207" s="5" t="s">
        <v>60</v>
      </c>
      <c r="O207" s="5" t="s">
        <v>60</v>
      </c>
      <c r="P207" s="5" t="s">
        <v>61</v>
      </c>
      <c r="Q207" s="5" t="s">
        <v>62</v>
      </c>
      <c r="R207" s="5" t="s">
        <v>63</v>
      </c>
      <c r="S207" s="5" t="s">
        <v>64</v>
      </c>
      <c r="T207" s="5" t="s">
        <v>65</v>
      </c>
      <c r="U207" s="5" t="s">
        <v>66</v>
      </c>
      <c r="V207" s="5" t="s">
        <v>166</v>
      </c>
      <c r="W207" s="5" t="s">
        <v>854</v>
      </c>
      <c r="X207" s="5" t="s">
        <v>826</v>
      </c>
      <c r="Y207" s="5" t="s">
        <v>169</v>
      </c>
      <c r="Z207" s="5" t="s">
        <v>71</v>
      </c>
      <c r="AA207" s="5" t="s">
        <v>87</v>
      </c>
      <c r="AB207" s="5" t="s">
        <v>104</v>
      </c>
      <c r="AC207" s="5" t="s">
        <v>105</v>
      </c>
      <c r="AD207" s="5" t="s">
        <v>75</v>
      </c>
      <c r="AE207" s="5" t="s">
        <v>170</v>
      </c>
      <c r="AF207" s="6">
        <v>2920</v>
      </c>
      <c r="AG207" s="7">
        <v>1</v>
      </c>
      <c r="AH207" s="6">
        <v>2920</v>
      </c>
      <c r="AI207" s="5" t="s">
        <v>777</v>
      </c>
      <c r="AJ207" s="10">
        <v>45937</v>
      </c>
      <c r="AK207" s="5" t="s">
        <v>855</v>
      </c>
      <c r="AL207" s="5" t="s">
        <v>79</v>
      </c>
      <c r="AM207" s="5">
        <v>1619409</v>
      </c>
      <c r="AN207" s="5" t="s">
        <v>80</v>
      </c>
      <c r="AO207" s="5">
        <v>1094010</v>
      </c>
      <c r="AP207" s="5" t="s">
        <v>81</v>
      </c>
      <c r="AQ207" s="5" t="s">
        <v>64</v>
      </c>
      <c r="AR207" s="5" t="s">
        <v>826</v>
      </c>
      <c r="AS207" s="5"/>
      <c r="AT207" s="5"/>
      <c r="AU207" s="5"/>
      <c r="AV207" s="5"/>
      <c r="AW207" s="8"/>
      <c r="AX207" t="s">
        <v>1135</v>
      </c>
      <c r="AY207" t="s">
        <v>2152</v>
      </c>
    </row>
    <row r="208" spans="1:51" x14ac:dyDescent="0.35">
      <c r="A208" s="4" t="s">
        <v>772</v>
      </c>
      <c r="B208" s="5" t="s">
        <v>772</v>
      </c>
      <c r="C208" s="5" t="s">
        <v>846</v>
      </c>
      <c r="D208" s="5" t="s">
        <v>50</v>
      </c>
      <c r="E208" s="5" t="s">
        <v>51</v>
      </c>
      <c r="F208" s="5" t="s">
        <v>774</v>
      </c>
      <c r="G208" s="5" t="s">
        <v>53</v>
      </c>
      <c r="H208" s="5" t="s">
        <v>54</v>
      </c>
      <c r="I208" s="5" t="s">
        <v>853</v>
      </c>
      <c r="J208" s="5" t="s">
        <v>56</v>
      </c>
      <c r="K208" s="5" t="s">
        <v>57</v>
      </c>
      <c r="L208" s="5" t="s">
        <v>58</v>
      </c>
      <c r="M208" s="5" t="s">
        <v>59</v>
      </c>
      <c r="N208" s="5" t="s">
        <v>60</v>
      </c>
      <c r="O208" s="5" t="s">
        <v>60</v>
      </c>
      <c r="P208" s="5" t="s">
        <v>61</v>
      </c>
      <c r="Q208" s="5" t="s">
        <v>62</v>
      </c>
      <c r="R208" s="5" t="s">
        <v>63</v>
      </c>
      <c r="S208" s="5" t="s">
        <v>64</v>
      </c>
      <c r="T208" s="5" t="s">
        <v>65</v>
      </c>
      <c r="U208" s="5" t="s">
        <v>66</v>
      </c>
      <c r="V208" s="5" t="s">
        <v>212</v>
      </c>
      <c r="W208" s="5" t="s">
        <v>856</v>
      </c>
      <c r="X208" s="5" t="s">
        <v>218</v>
      </c>
      <c r="Y208" s="5" t="s">
        <v>214</v>
      </c>
      <c r="Z208" s="5" t="s">
        <v>71</v>
      </c>
      <c r="AA208" s="5" t="s">
        <v>87</v>
      </c>
      <c r="AB208" s="5" t="s">
        <v>88</v>
      </c>
      <c r="AC208" s="5" t="s">
        <v>89</v>
      </c>
      <c r="AD208" s="5" t="s">
        <v>75</v>
      </c>
      <c r="AE208" s="5" t="s">
        <v>117</v>
      </c>
      <c r="AF208" s="6">
        <v>4326</v>
      </c>
      <c r="AG208" s="7">
        <v>1</v>
      </c>
      <c r="AH208" s="6">
        <v>4326</v>
      </c>
      <c r="AI208" s="5" t="s">
        <v>857</v>
      </c>
      <c r="AJ208" s="10">
        <v>45937</v>
      </c>
      <c r="AK208" s="5" t="s">
        <v>855</v>
      </c>
      <c r="AL208" s="5" t="s">
        <v>79</v>
      </c>
      <c r="AM208" s="5">
        <v>1619409</v>
      </c>
      <c r="AN208" s="5" t="s">
        <v>80</v>
      </c>
      <c r="AO208" s="5">
        <v>1094010</v>
      </c>
      <c r="AP208" s="5" t="s">
        <v>81</v>
      </c>
      <c r="AQ208" s="5" t="s">
        <v>64</v>
      </c>
      <c r="AR208" s="5" t="s">
        <v>218</v>
      </c>
      <c r="AS208" s="5"/>
      <c r="AT208" s="5"/>
      <c r="AU208" s="5"/>
      <c r="AV208" s="5"/>
      <c r="AW208" s="8"/>
      <c r="AX208" t="s">
        <v>1135</v>
      </c>
      <c r="AY208" t="s">
        <v>2152</v>
      </c>
    </row>
    <row r="209" spans="1:51" x14ac:dyDescent="0.35">
      <c r="A209" s="4" t="s">
        <v>772</v>
      </c>
      <c r="B209" s="5" t="s">
        <v>772</v>
      </c>
      <c r="C209" s="5" t="s">
        <v>846</v>
      </c>
      <c r="D209" s="5" t="s">
        <v>50</v>
      </c>
      <c r="E209" s="5" t="s">
        <v>51</v>
      </c>
      <c r="F209" s="5" t="s">
        <v>774</v>
      </c>
      <c r="G209" s="5" t="s">
        <v>53</v>
      </c>
      <c r="H209" s="5" t="s">
        <v>54</v>
      </c>
      <c r="I209" s="5" t="s">
        <v>853</v>
      </c>
      <c r="J209" s="5" t="s">
        <v>56</v>
      </c>
      <c r="K209" s="5" t="s">
        <v>57</v>
      </c>
      <c r="L209" s="5" t="s">
        <v>58</v>
      </c>
      <c r="M209" s="5" t="s">
        <v>59</v>
      </c>
      <c r="N209" s="5" t="s">
        <v>60</v>
      </c>
      <c r="O209" s="5" t="s">
        <v>60</v>
      </c>
      <c r="P209" s="5" t="s">
        <v>61</v>
      </c>
      <c r="Q209" s="5" t="s">
        <v>62</v>
      </c>
      <c r="R209" s="5" t="s">
        <v>63</v>
      </c>
      <c r="S209" s="5" t="s">
        <v>64</v>
      </c>
      <c r="T209" s="5" t="s">
        <v>65</v>
      </c>
      <c r="U209" s="5" t="s">
        <v>66</v>
      </c>
      <c r="V209" s="5" t="s">
        <v>850</v>
      </c>
      <c r="W209" s="5" t="s">
        <v>858</v>
      </c>
      <c r="X209" s="5" t="s">
        <v>465</v>
      </c>
      <c r="Y209" s="5" t="s">
        <v>852</v>
      </c>
      <c r="Z209" s="5" t="s">
        <v>71</v>
      </c>
      <c r="AA209" s="5" t="s">
        <v>72</v>
      </c>
      <c r="AB209" s="5" t="s">
        <v>73</v>
      </c>
      <c r="AC209" s="5" t="s">
        <v>74</v>
      </c>
      <c r="AD209" s="5" t="s">
        <v>75</v>
      </c>
      <c r="AE209" s="5" t="s">
        <v>201</v>
      </c>
      <c r="AF209" s="6">
        <v>35203.86</v>
      </c>
      <c r="AG209" s="7">
        <v>1</v>
      </c>
      <c r="AH209" s="6">
        <v>35203.86</v>
      </c>
      <c r="AI209" s="5" t="s">
        <v>859</v>
      </c>
      <c r="AJ209" s="10">
        <v>45937</v>
      </c>
      <c r="AK209" s="5" t="s">
        <v>855</v>
      </c>
      <c r="AL209" s="5" t="s">
        <v>79</v>
      </c>
      <c r="AM209" s="5">
        <v>1619409</v>
      </c>
      <c r="AN209" s="5" t="s">
        <v>80</v>
      </c>
      <c r="AO209" s="5">
        <v>1094010</v>
      </c>
      <c r="AP209" s="5" t="s">
        <v>81</v>
      </c>
      <c r="AQ209" s="5" t="s">
        <v>64</v>
      </c>
      <c r="AR209" s="5" t="s">
        <v>465</v>
      </c>
      <c r="AS209" s="5"/>
      <c r="AT209" s="5"/>
      <c r="AU209" s="5"/>
      <c r="AV209" s="5"/>
      <c r="AW209" s="8"/>
      <c r="AX209" t="s">
        <v>1135</v>
      </c>
      <c r="AY209" t="s">
        <v>2152</v>
      </c>
    </row>
    <row r="210" spans="1:51" x14ac:dyDescent="0.35">
      <c r="A210" s="4" t="s">
        <v>772</v>
      </c>
      <c r="B210" s="5" t="s">
        <v>772</v>
      </c>
      <c r="C210" s="5" t="s">
        <v>846</v>
      </c>
      <c r="D210" s="5" t="s">
        <v>50</v>
      </c>
      <c r="E210" s="5" t="s">
        <v>51</v>
      </c>
      <c r="F210" s="5" t="s">
        <v>774</v>
      </c>
      <c r="G210" s="5" t="s">
        <v>53</v>
      </c>
      <c r="H210" s="5" t="s">
        <v>54</v>
      </c>
      <c r="I210" s="5" t="s">
        <v>853</v>
      </c>
      <c r="J210" s="5" t="s">
        <v>56</v>
      </c>
      <c r="K210" s="5" t="s">
        <v>57</v>
      </c>
      <c r="L210" s="5" t="s">
        <v>58</v>
      </c>
      <c r="M210" s="5" t="s">
        <v>59</v>
      </c>
      <c r="N210" s="5" t="s">
        <v>60</v>
      </c>
      <c r="O210" s="5" t="s">
        <v>60</v>
      </c>
      <c r="P210" s="5" t="s">
        <v>61</v>
      </c>
      <c r="Q210" s="5" t="s">
        <v>62</v>
      </c>
      <c r="R210" s="5" t="s">
        <v>63</v>
      </c>
      <c r="S210" s="5" t="s">
        <v>64</v>
      </c>
      <c r="T210" s="5" t="s">
        <v>65</v>
      </c>
      <c r="U210" s="5" t="s">
        <v>66</v>
      </c>
      <c r="V210" s="5" t="s">
        <v>155</v>
      </c>
      <c r="W210" s="5" t="s">
        <v>860</v>
      </c>
      <c r="X210" s="5" t="s">
        <v>110</v>
      </c>
      <c r="Y210" s="5" t="s">
        <v>157</v>
      </c>
      <c r="Z210" s="5" t="s">
        <v>71</v>
      </c>
      <c r="AA210" s="5" t="s">
        <v>72</v>
      </c>
      <c r="AB210" s="5" t="s">
        <v>73</v>
      </c>
      <c r="AC210" s="5" t="s">
        <v>74</v>
      </c>
      <c r="AD210" s="5" t="s">
        <v>75</v>
      </c>
      <c r="AE210" s="5" t="s">
        <v>158</v>
      </c>
      <c r="AF210" s="6">
        <v>35203.86</v>
      </c>
      <c r="AG210" s="7">
        <v>1</v>
      </c>
      <c r="AH210" s="6">
        <v>35203.86</v>
      </c>
      <c r="AI210" s="5" t="s">
        <v>861</v>
      </c>
      <c r="AJ210" s="10">
        <v>45937</v>
      </c>
      <c r="AK210" s="5" t="s">
        <v>855</v>
      </c>
      <c r="AL210" s="5" t="s">
        <v>79</v>
      </c>
      <c r="AM210" s="5">
        <v>1619409</v>
      </c>
      <c r="AN210" s="5" t="s">
        <v>80</v>
      </c>
      <c r="AO210" s="5">
        <v>1094010</v>
      </c>
      <c r="AP210" s="5" t="s">
        <v>81</v>
      </c>
      <c r="AQ210" s="5" t="s">
        <v>64</v>
      </c>
      <c r="AR210" s="5" t="s">
        <v>110</v>
      </c>
      <c r="AS210" s="5"/>
      <c r="AT210" s="5"/>
      <c r="AU210" s="5"/>
      <c r="AV210" s="5"/>
      <c r="AW210" s="8"/>
      <c r="AX210" t="s">
        <v>1135</v>
      </c>
      <c r="AY210" t="s">
        <v>2152</v>
      </c>
    </row>
    <row r="211" spans="1:51" x14ac:dyDescent="0.35">
      <c r="A211" s="4" t="s">
        <v>772</v>
      </c>
      <c r="B211" s="5" t="s">
        <v>772</v>
      </c>
      <c r="C211" s="5" t="s">
        <v>846</v>
      </c>
      <c r="D211" s="5" t="s">
        <v>50</v>
      </c>
      <c r="E211" s="5" t="s">
        <v>51</v>
      </c>
      <c r="F211" s="5" t="s">
        <v>774</v>
      </c>
      <c r="G211" s="5" t="s">
        <v>53</v>
      </c>
      <c r="H211" s="5" t="s">
        <v>54</v>
      </c>
      <c r="I211" s="5" t="s">
        <v>853</v>
      </c>
      <c r="J211" s="5" t="s">
        <v>56</v>
      </c>
      <c r="K211" s="5" t="s">
        <v>57</v>
      </c>
      <c r="L211" s="5" t="s">
        <v>58</v>
      </c>
      <c r="M211" s="5" t="s">
        <v>59</v>
      </c>
      <c r="N211" s="5" t="s">
        <v>60</v>
      </c>
      <c r="O211" s="5" t="s">
        <v>60</v>
      </c>
      <c r="P211" s="5" t="s">
        <v>61</v>
      </c>
      <c r="Q211" s="5" t="s">
        <v>62</v>
      </c>
      <c r="R211" s="5" t="s">
        <v>63</v>
      </c>
      <c r="S211" s="5" t="s">
        <v>64</v>
      </c>
      <c r="T211" s="5" t="s">
        <v>65</v>
      </c>
      <c r="U211" s="5" t="s">
        <v>66</v>
      </c>
      <c r="V211" s="5" t="s">
        <v>862</v>
      </c>
      <c r="W211" s="5" t="s">
        <v>863</v>
      </c>
      <c r="X211" s="5" t="s">
        <v>465</v>
      </c>
      <c r="Y211" s="5" t="s">
        <v>864</v>
      </c>
      <c r="Z211" s="5" t="s">
        <v>71</v>
      </c>
      <c r="AA211" s="5" t="s">
        <v>72</v>
      </c>
      <c r="AB211" s="5" t="s">
        <v>73</v>
      </c>
      <c r="AC211" s="5" t="s">
        <v>228</v>
      </c>
      <c r="AD211" s="5" t="s">
        <v>75</v>
      </c>
      <c r="AE211" s="5" t="s">
        <v>865</v>
      </c>
      <c r="AF211" s="6">
        <v>35203.86</v>
      </c>
      <c r="AG211" s="7">
        <v>1</v>
      </c>
      <c r="AH211" s="6">
        <v>35203.86</v>
      </c>
      <c r="AI211" s="5" t="s">
        <v>866</v>
      </c>
      <c r="AJ211" s="10">
        <v>45937</v>
      </c>
      <c r="AK211" s="5" t="s">
        <v>855</v>
      </c>
      <c r="AL211" s="5" t="s">
        <v>79</v>
      </c>
      <c r="AM211" s="5">
        <v>1619409</v>
      </c>
      <c r="AN211" s="5" t="s">
        <v>80</v>
      </c>
      <c r="AO211" s="5">
        <v>1094010</v>
      </c>
      <c r="AP211" s="5" t="s">
        <v>81</v>
      </c>
      <c r="AQ211" s="5" t="s">
        <v>64</v>
      </c>
      <c r="AR211" s="5" t="s">
        <v>465</v>
      </c>
      <c r="AS211" s="5"/>
      <c r="AT211" s="5"/>
      <c r="AU211" s="5"/>
      <c r="AV211" s="5"/>
      <c r="AW211" s="8"/>
      <c r="AX211" t="s">
        <v>1135</v>
      </c>
      <c r="AY211" t="s">
        <v>2152</v>
      </c>
    </row>
    <row r="212" spans="1:51" x14ac:dyDescent="0.35">
      <c r="A212" s="4" t="s">
        <v>772</v>
      </c>
      <c r="B212" s="5" t="s">
        <v>772</v>
      </c>
      <c r="C212" s="5" t="s">
        <v>846</v>
      </c>
      <c r="D212" s="5" t="s">
        <v>50</v>
      </c>
      <c r="E212" s="5" t="s">
        <v>51</v>
      </c>
      <c r="F212" s="5" t="s">
        <v>774</v>
      </c>
      <c r="G212" s="5" t="s">
        <v>53</v>
      </c>
      <c r="H212" s="5" t="s">
        <v>54</v>
      </c>
      <c r="I212" s="5" t="s">
        <v>867</v>
      </c>
      <c r="J212" s="5" t="s">
        <v>56</v>
      </c>
      <c r="K212" s="5" t="s">
        <v>57</v>
      </c>
      <c r="L212" s="5" t="s">
        <v>58</v>
      </c>
      <c r="M212" s="5" t="s">
        <v>59</v>
      </c>
      <c r="N212" s="5" t="s">
        <v>60</v>
      </c>
      <c r="O212" s="5" t="s">
        <v>60</v>
      </c>
      <c r="P212" s="5" t="s">
        <v>61</v>
      </c>
      <c r="Q212" s="5" t="s">
        <v>62</v>
      </c>
      <c r="R212" s="5" t="s">
        <v>63</v>
      </c>
      <c r="S212" s="5" t="s">
        <v>64</v>
      </c>
      <c r="T212" s="5" t="s">
        <v>65</v>
      </c>
      <c r="U212" s="5" t="s">
        <v>66</v>
      </c>
      <c r="V212" s="5" t="s">
        <v>601</v>
      </c>
      <c r="W212" s="5" t="s">
        <v>868</v>
      </c>
      <c r="X212" s="5" t="s">
        <v>869</v>
      </c>
      <c r="Y212" s="5" t="s">
        <v>603</v>
      </c>
      <c r="Z212" s="5" t="s">
        <v>71</v>
      </c>
      <c r="AA212" s="5" t="s">
        <v>87</v>
      </c>
      <c r="AB212" s="5" t="s">
        <v>88</v>
      </c>
      <c r="AC212" s="5" t="s">
        <v>89</v>
      </c>
      <c r="AD212" s="5" t="s">
        <v>75</v>
      </c>
      <c r="AE212" s="5" t="s">
        <v>243</v>
      </c>
      <c r="AF212" s="6">
        <v>4200</v>
      </c>
      <c r="AG212" s="7">
        <v>1</v>
      </c>
      <c r="AH212" s="6">
        <v>4200</v>
      </c>
      <c r="AI212" s="5" t="s">
        <v>870</v>
      </c>
      <c r="AJ212" s="10">
        <v>45937</v>
      </c>
      <c r="AK212" s="5" t="s">
        <v>871</v>
      </c>
      <c r="AL212" s="5" t="s">
        <v>79</v>
      </c>
      <c r="AM212" s="5">
        <v>1619409</v>
      </c>
      <c r="AN212" s="5" t="s">
        <v>80</v>
      </c>
      <c r="AO212" s="5">
        <v>1094010</v>
      </c>
      <c r="AP212" s="5" t="s">
        <v>81</v>
      </c>
      <c r="AQ212" s="5" t="s">
        <v>64</v>
      </c>
      <c r="AR212" s="5" t="s">
        <v>869</v>
      </c>
      <c r="AS212" s="5"/>
      <c r="AT212" s="5"/>
      <c r="AU212" s="5"/>
      <c r="AV212" s="5"/>
      <c r="AW212" s="8"/>
      <c r="AX212" t="s">
        <v>1135</v>
      </c>
      <c r="AY212" t="s">
        <v>2152</v>
      </c>
    </row>
    <row r="213" spans="1:51" x14ac:dyDescent="0.35">
      <c r="A213" s="4" t="s">
        <v>772</v>
      </c>
      <c r="B213" s="5" t="s">
        <v>772</v>
      </c>
      <c r="C213" s="5" t="s">
        <v>872</v>
      </c>
      <c r="D213" s="5" t="s">
        <v>50</v>
      </c>
      <c r="E213" s="5" t="s">
        <v>51</v>
      </c>
      <c r="F213" s="5" t="s">
        <v>774</v>
      </c>
      <c r="G213" s="5" t="s">
        <v>53</v>
      </c>
      <c r="H213" s="5" t="s">
        <v>54</v>
      </c>
      <c r="I213" s="5" t="s">
        <v>873</v>
      </c>
      <c r="J213" s="5" t="s">
        <v>56</v>
      </c>
      <c r="K213" s="5" t="s">
        <v>57</v>
      </c>
      <c r="L213" s="5" t="s">
        <v>58</v>
      </c>
      <c r="M213" s="5" t="s">
        <v>59</v>
      </c>
      <c r="N213" s="5" t="s">
        <v>60</v>
      </c>
      <c r="O213" s="5" t="s">
        <v>60</v>
      </c>
      <c r="P213" s="5" t="s">
        <v>61</v>
      </c>
      <c r="Q213" s="5" t="s">
        <v>62</v>
      </c>
      <c r="R213" s="5" t="s">
        <v>63</v>
      </c>
      <c r="S213" s="5" t="s">
        <v>64</v>
      </c>
      <c r="T213" s="5" t="s">
        <v>65</v>
      </c>
      <c r="U213" s="5" t="s">
        <v>66</v>
      </c>
      <c r="V213" s="5" t="s">
        <v>212</v>
      </c>
      <c r="W213" s="5" t="s">
        <v>766</v>
      </c>
      <c r="X213" s="5" t="s">
        <v>207</v>
      </c>
      <c r="Y213" s="5" t="s">
        <v>214</v>
      </c>
      <c r="Z213" s="5" t="s">
        <v>71</v>
      </c>
      <c r="AA213" s="5" t="s">
        <v>87</v>
      </c>
      <c r="AB213" s="5" t="s">
        <v>88</v>
      </c>
      <c r="AC213" s="5" t="s">
        <v>89</v>
      </c>
      <c r="AD213" s="5" t="s">
        <v>75</v>
      </c>
      <c r="AE213" s="5" t="s">
        <v>117</v>
      </c>
      <c r="AF213" s="6">
        <v>4326</v>
      </c>
      <c r="AG213" s="7">
        <v>1</v>
      </c>
      <c r="AH213" s="6">
        <v>4326</v>
      </c>
      <c r="AI213" s="5" t="s">
        <v>154</v>
      </c>
      <c r="AJ213" s="10">
        <v>45938</v>
      </c>
      <c r="AK213" s="5" t="s">
        <v>874</v>
      </c>
      <c r="AL213" s="5" t="s">
        <v>79</v>
      </c>
      <c r="AM213" s="5">
        <v>1619409</v>
      </c>
      <c r="AN213" s="5" t="s">
        <v>80</v>
      </c>
      <c r="AO213" s="5">
        <v>1094010</v>
      </c>
      <c r="AP213" s="5" t="s">
        <v>81</v>
      </c>
      <c r="AQ213" s="5" t="s">
        <v>64</v>
      </c>
      <c r="AR213" s="5" t="s">
        <v>207</v>
      </c>
      <c r="AS213" s="5"/>
      <c r="AT213" s="5"/>
      <c r="AU213" s="5"/>
      <c r="AV213" s="5"/>
      <c r="AW213" s="8"/>
      <c r="AX213" t="s">
        <v>1135</v>
      </c>
      <c r="AY213" t="s">
        <v>2152</v>
      </c>
    </row>
    <row r="214" spans="1:51" x14ac:dyDescent="0.35">
      <c r="A214" s="4" t="s">
        <v>772</v>
      </c>
      <c r="B214" s="5" t="s">
        <v>772</v>
      </c>
      <c r="C214" s="5" t="s">
        <v>872</v>
      </c>
      <c r="D214" s="5" t="s">
        <v>50</v>
      </c>
      <c r="E214" s="5" t="s">
        <v>51</v>
      </c>
      <c r="F214" s="5" t="s">
        <v>774</v>
      </c>
      <c r="G214" s="5" t="s">
        <v>53</v>
      </c>
      <c r="H214" s="5" t="s">
        <v>54</v>
      </c>
      <c r="I214" s="5" t="s">
        <v>873</v>
      </c>
      <c r="J214" s="5" t="s">
        <v>56</v>
      </c>
      <c r="K214" s="5" t="s">
        <v>57</v>
      </c>
      <c r="L214" s="5" t="s">
        <v>58</v>
      </c>
      <c r="M214" s="5" t="s">
        <v>59</v>
      </c>
      <c r="N214" s="5" t="s">
        <v>60</v>
      </c>
      <c r="O214" s="5" t="s">
        <v>60</v>
      </c>
      <c r="P214" s="5" t="s">
        <v>61</v>
      </c>
      <c r="Q214" s="5" t="s">
        <v>62</v>
      </c>
      <c r="R214" s="5" t="s">
        <v>63</v>
      </c>
      <c r="S214" s="5" t="s">
        <v>64</v>
      </c>
      <c r="T214" s="5" t="s">
        <v>65</v>
      </c>
      <c r="U214" s="5" t="s">
        <v>66</v>
      </c>
      <c r="V214" s="5" t="s">
        <v>216</v>
      </c>
      <c r="W214" s="5" t="s">
        <v>875</v>
      </c>
      <c r="X214" s="5" t="s">
        <v>218</v>
      </c>
      <c r="Y214" s="5" t="s">
        <v>219</v>
      </c>
      <c r="Z214" s="5" t="s">
        <v>71</v>
      </c>
      <c r="AA214" s="5" t="s">
        <v>87</v>
      </c>
      <c r="AB214" s="5" t="s">
        <v>88</v>
      </c>
      <c r="AC214" s="5" t="s">
        <v>89</v>
      </c>
      <c r="AD214" s="5" t="s">
        <v>75</v>
      </c>
      <c r="AE214" s="5" t="s">
        <v>124</v>
      </c>
      <c r="AF214" s="6">
        <v>4326</v>
      </c>
      <c r="AG214" s="7">
        <v>1</v>
      </c>
      <c r="AH214" s="6">
        <v>4326</v>
      </c>
      <c r="AI214" s="5" t="s">
        <v>154</v>
      </c>
      <c r="AJ214" s="10">
        <v>45938</v>
      </c>
      <c r="AK214" s="5" t="s">
        <v>874</v>
      </c>
      <c r="AL214" s="5" t="s">
        <v>79</v>
      </c>
      <c r="AM214" s="5">
        <v>1619409</v>
      </c>
      <c r="AN214" s="5" t="s">
        <v>80</v>
      </c>
      <c r="AO214" s="5">
        <v>1094010</v>
      </c>
      <c r="AP214" s="5" t="s">
        <v>81</v>
      </c>
      <c r="AQ214" s="5" t="s">
        <v>64</v>
      </c>
      <c r="AR214" s="5" t="s">
        <v>218</v>
      </c>
      <c r="AS214" s="5"/>
      <c r="AT214" s="5"/>
      <c r="AU214" s="5"/>
      <c r="AV214" s="5"/>
      <c r="AW214" s="8"/>
      <c r="AX214" t="s">
        <v>1135</v>
      </c>
      <c r="AY214" t="s">
        <v>2152</v>
      </c>
    </row>
    <row r="215" spans="1:51" x14ac:dyDescent="0.35">
      <c r="A215" s="4" t="s">
        <v>772</v>
      </c>
      <c r="B215" s="5" t="s">
        <v>772</v>
      </c>
      <c r="C215" s="5" t="s">
        <v>872</v>
      </c>
      <c r="D215" s="5" t="s">
        <v>50</v>
      </c>
      <c r="E215" s="5" t="s">
        <v>51</v>
      </c>
      <c r="F215" s="5" t="s">
        <v>774</v>
      </c>
      <c r="G215" s="5" t="s">
        <v>53</v>
      </c>
      <c r="H215" s="5" t="s">
        <v>54</v>
      </c>
      <c r="I215" s="5" t="s">
        <v>873</v>
      </c>
      <c r="J215" s="5" t="s">
        <v>56</v>
      </c>
      <c r="K215" s="5" t="s">
        <v>57</v>
      </c>
      <c r="L215" s="5" t="s">
        <v>58</v>
      </c>
      <c r="M215" s="5" t="s">
        <v>59</v>
      </c>
      <c r="N215" s="5" t="s">
        <v>60</v>
      </c>
      <c r="O215" s="5" t="s">
        <v>60</v>
      </c>
      <c r="P215" s="5" t="s">
        <v>61</v>
      </c>
      <c r="Q215" s="5" t="s">
        <v>62</v>
      </c>
      <c r="R215" s="5" t="s">
        <v>63</v>
      </c>
      <c r="S215" s="5" t="s">
        <v>64</v>
      </c>
      <c r="T215" s="5" t="s">
        <v>65</v>
      </c>
      <c r="U215" s="5" t="s">
        <v>66</v>
      </c>
      <c r="V215" s="5" t="s">
        <v>225</v>
      </c>
      <c r="W215" s="5" t="s">
        <v>876</v>
      </c>
      <c r="X215" s="5" t="s">
        <v>356</v>
      </c>
      <c r="Y215" s="5" t="s">
        <v>227</v>
      </c>
      <c r="Z215" s="5" t="s">
        <v>71</v>
      </c>
      <c r="AA215" s="5" t="s">
        <v>72</v>
      </c>
      <c r="AB215" s="5" t="s">
        <v>73</v>
      </c>
      <c r="AC215" s="5" t="s">
        <v>228</v>
      </c>
      <c r="AD215" s="5" t="s">
        <v>75</v>
      </c>
      <c r="AE215" s="5" t="s">
        <v>229</v>
      </c>
      <c r="AF215" s="6">
        <v>35203.86</v>
      </c>
      <c r="AG215" s="7">
        <v>1</v>
      </c>
      <c r="AH215" s="6">
        <v>35203.86</v>
      </c>
      <c r="AI215" s="5" t="s">
        <v>454</v>
      </c>
      <c r="AJ215" s="10">
        <v>45938</v>
      </c>
      <c r="AK215" s="5" t="s">
        <v>874</v>
      </c>
      <c r="AL215" s="5" t="s">
        <v>79</v>
      </c>
      <c r="AM215" s="5">
        <v>1619409</v>
      </c>
      <c r="AN215" s="5" t="s">
        <v>80</v>
      </c>
      <c r="AO215" s="5">
        <v>1094010</v>
      </c>
      <c r="AP215" s="5" t="s">
        <v>81</v>
      </c>
      <c r="AQ215" s="5" t="s">
        <v>64</v>
      </c>
      <c r="AR215" s="5" t="s">
        <v>356</v>
      </c>
      <c r="AS215" s="5"/>
      <c r="AT215" s="5"/>
      <c r="AU215" s="5"/>
      <c r="AV215" s="5"/>
      <c r="AW215" s="8"/>
      <c r="AX215" t="s">
        <v>1135</v>
      </c>
      <c r="AY215" t="s">
        <v>2152</v>
      </c>
    </row>
    <row r="216" spans="1:51" x14ac:dyDescent="0.35">
      <c r="A216" s="4" t="s">
        <v>772</v>
      </c>
      <c r="B216" s="5" t="s">
        <v>772</v>
      </c>
      <c r="C216" s="5" t="s">
        <v>872</v>
      </c>
      <c r="D216" s="5" t="s">
        <v>50</v>
      </c>
      <c r="E216" s="5" t="s">
        <v>51</v>
      </c>
      <c r="F216" s="5" t="s">
        <v>774</v>
      </c>
      <c r="G216" s="5" t="s">
        <v>53</v>
      </c>
      <c r="H216" s="5" t="s">
        <v>54</v>
      </c>
      <c r="I216" s="5" t="s">
        <v>877</v>
      </c>
      <c r="J216" s="5" t="s">
        <v>56</v>
      </c>
      <c r="K216" s="5" t="s">
        <v>57</v>
      </c>
      <c r="L216" s="5" t="s">
        <v>58</v>
      </c>
      <c r="M216" s="5" t="s">
        <v>59</v>
      </c>
      <c r="N216" s="5" t="s">
        <v>60</v>
      </c>
      <c r="O216" s="5" t="s">
        <v>60</v>
      </c>
      <c r="P216" s="5" t="s">
        <v>61</v>
      </c>
      <c r="Q216" s="5" t="s">
        <v>62</v>
      </c>
      <c r="R216" s="5" t="s">
        <v>63</v>
      </c>
      <c r="S216" s="5" t="s">
        <v>64</v>
      </c>
      <c r="T216" s="5" t="s">
        <v>65</v>
      </c>
      <c r="U216" s="5" t="s">
        <v>66</v>
      </c>
      <c r="V216" s="5" t="s">
        <v>363</v>
      </c>
      <c r="W216" s="5" t="s">
        <v>845</v>
      </c>
      <c r="X216" s="5" t="s">
        <v>207</v>
      </c>
      <c r="Y216" s="5" t="s">
        <v>365</v>
      </c>
      <c r="Z216" s="5" t="s">
        <v>71</v>
      </c>
      <c r="AA216" s="5" t="s">
        <v>366</v>
      </c>
      <c r="AB216" s="5" t="s">
        <v>367</v>
      </c>
      <c r="AC216" s="5" t="s">
        <v>368</v>
      </c>
      <c r="AD216" s="5" t="s">
        <v>75</v>
      </c>
      <c r="AE216" s="5" t="s">
        <v>369</v>
      </c>
      <c r="AF216" s="6">
        <v>35226</v>
      </c>
      <c r="AG216" s="7">
        <v>1</v>
      </c>
      <c r="AH216" s="6">
        <v>35226</v>
      </c>
      <c r="AI216" s="5" t="s">
        <v>154</v>
      </c>
      <c r="AJ216" s="10">
        <v>45938</v>
      </c>
      <c r="AK216" s="5" t="s">
        <v>878</v>
      </c>
      <c r="AL216" s="5" t="s">
        <v>79</v>
      </c>
      <c r="AM216" s="5">
        <v>1619409</v>
      </c>
      <c r="AN216" s="5" t="s">
        <v>80</v>
      </c>
      <c r="AO216" s="5">
        <v>1094010</v>
      </c>
      <c r="AP216" s="5" t="s">
        <v>81</v>
      </c>
      <c r="AQ216" s="5" t="s">
        <v>64</v>
      </c>
      <c r="AR216" s="5" t="s">
        <v>207</v>
      </c>
      <c r="AS216" s="5"/>
      <c r="AT216" s="5"/>
      <c r="AU216" s="5"/>
      <c r="AV216" s="5"/>
      <c r="AW216" s="8"/>
      <c r="AX216" t="s">
        <v>1135</v>
      </c>
      <c r="AY216" t="s">
        <v>2152</v>
      </c>
    </row>
    <row r="217" spans="1:51" x14ac:dyDescent="0.35">
      <c r="A217" s="4" t="s">
        <v>772</v>
      </c>
      <c r="B217" s="5" t="s">
        <v>772</v>
      </c>
      <c r="C217" s="5" t="s">
        <v>879</v>
      </c>
      <c r="D217" s="5" t="s">
        <v>50</v>
      </c>
      <c r="E217" s="5" t="s">
        <v>51</v>
      </c>
      <c r="F217" s="5" t="s">
        <v>880</v>
      </c>
      <c r="G217" s="5" t="s">
        <v>53</v>
      </c>
      <c r="H217" s="5" t="s">
        <v>54</v>
      </c>
      <c r="I217" s="5" t="s">
        <v>881</v>
      </c>
      <c r="J217" s="5" t="s">
        <v>56</v>
      </c>
      <c r="K217" s="5" t="s">
        <v>57</v>
      </c>
      <c r="L217" s="5" t="s">
        <v>58</v>
      </c>
      <c r="M217" s="5"/>
      <c r="N217" s="5" t="s">
        <v>60</v>
      </c>
      <c r="O217" s="5" t="s">
        <v>60</v>
      </c>
      <c r="P217" s="5" t="s">
        <v>61</v>
      </c>
      <c r="Q217" s="5" t="s">
        <v>62</v>
      </c>
      <c r="R217" s="5" t="s">
        <v>63</v>
      </c>
      <c r="S217" s="5" t="s">
        <v>64</v>
      </c>
      <c r="T217" s="5" t="s">
        <v>65</v>
      </c>
      <c r="U217" s="5" t="s">
        <v>882</v>
      </c>
      <c r="V217" s="5" t="s">
        <v>883</v>
      </c>
      <c r="W217" s="5" t="s">
        <v>884</v>
      </c>
      <c r="X217" s="5" t="s">
        <v>459</v>
      </c>
      <c r="Y217" s="5" t="s">
        <v>885</v>
      </c>
      <c r="Z217" s="5" t="s">
        <v>71</v>
      </c>
      <c r="AA217" s="5" t="s">
        <v>72</v>
      </c>
      <c r="AB217" s="5" t="s">
        <v>73</v>
      </c>
      <c r="AC217" s="5" t="s">
        <v>74</v>
      </c>
      <c r="AD217" s="5" t="s">
        <v>75</v>
      </c>
      <c r="AE217" s="5" t="s">
        <v>300</v>
      </c>
      <c r="AF217" s="6">
        <v>35818.480000000003</v>
      </c>
      <c r="AG217" s="7">
        <v>1</v>
      </c>
      <c r="AH217" s="6">
        <v>35818.480000000003</v>
      </c>
      <c r="AI217" s="5" t="s">
        <v>379</v>
      </c>
      <c r="AJ217" s="10">
        <v>45939</v>
      </c>
      <c r="AK217" s="5" t="s">
        <v>886</v>
      </c>
      <c r="AL217" s="5" t="s">
        <v>79</v>
      </c>
      <c r="AM217" s="5">
        <v>1619409</v>
      </c>
      <c r="AN217" s="5" t="s">
        <v>80</v>
      </c>
      <c r="AO217" s="5">
        <v>1094010</v>
      </c>
      <c r="AP217" s="5" t="s">
        <v>81</v>
      </c>
      <c r="AQ217" s="5" t="s">
        <v>64</v>
      </c>
      <c r="AR217" s="5" t="s">
        <v>459</v>
      </c>
      <c r="AS217" s="5"/>
      <c r="AT217" s="5"/>
      <c r="AU217" s="5" t="s">
        <v>887</v>
      </c>
      <c r="AV217" s="5" t="s">
        <v>888</v>
      </c>
      <c r="AW217" s="8"/>
      <c r="AX217" t="s">
        <v>2165</v>
      </c>
      <c r="AY217" s="21" t="s">
        <v>1108</v>
      </c>
    </row>
    <row r="218" spans="1:51" x14ac:dyDescent="0.35">
      <c r="A218" s="4" t="s">
        <v>772</v>
      </c>
      <c r="B218" s="5" t="s">
        <v>772</v>
      </c>
      <c r="C218" s="5" t="s">
        <v>879</v>
      </c>
      <c r="D218" s="5" t="s">
        <v>50</v>
      </c>
      <c r="E218" s="5" t="s">
        <v>51</v>
      </c>
      <c r="F218" s="5" t="s">
        <v>774</v>
      </c>
      <c r="G218" s="5" t="s">
        <v>53</v>
      </c>
      <c r="H218" s="5" t="s">
        <v>54</v>
      </c>
      <c r="I218" s="5" t="s">
        <v>889</v>
      </c>
      <c r="J218" s="5" t="s">
        <v>56</v>
      </c>
      <c r="K218" s="5" t="s">
        <v>57</v>
      </c>
      <c r="L218" s="5" t="s">
        <v>58</v>
      </c>
      <c r="M218" s="5" t="s">
        <v>59</v>
      </c>
      <c r="N218" s="5" t="s">
        <v>60</v>
      </c>
      <c r="O218" s="5" t="s">
        <v>60</v>
      </c>
      <c r="P218" s="5" t="s">
        <v>61</v>
      </c>
      <c r="Q218" s="5" t="s">
        <v>62</v>
      </c>
      <c r="R218" s="5" t="s">
        <v>63</v>
      </c>
      <c r="S218" s="5" t="s">
        <v>64</v>
      </c>
      <c r="T218" s="5" t="s">
        <v>65</v>
      </c>
      <c r="U218" s="5" t="s">
        <v>66</v>
      </c>
      <c r="V218" s="5" t="s">
        <v>502</v>
      </c>
      <c r="W218" s="5" t="s">
        <v>890</v>
      </c>
      <c r="X218" s="5" t="s">
        <v>162</v>
      </c>
      <c r="Y218" s="5" t="s">
        <v>505</v>
      </c>
      <c r="Z218" s="5" t="s">
        <v>71</v>
      </c>
      <c r="AA218" s="5" t="s">
        <v>87</v>
      </c>
      <c r="AB218" s="5" t="s">
        <v>88</v>
      </c>
      <c r="AC218" s="5" t="s">
        <v>89</v>
      </c>
      <c r="AD218" s="5" t="s">
        <v>75</v>
      </c>
      <c r="AE218" s="5" t="s">
        <v>97</v>
      </c>
      <c r="AF218" s="6">
        <v>4326</v>
      </c>
      <c r="AG218" s="7">
        <v>1</v>
      </c>
      <c r="AH218" s="6">
        <v>4326</v>
      </c>
      <c r="AI218" s="5" t="s">
        <v>154</v>
      </c>
      <c r="AJ218" s="10">
        <v>45939</v>
      </c>
      <c r="AK218" s="5" t="s">
        <v>891</v>
      </c>
      <c r="AL218" s="5" t="s">
        <v>79</v>
      </c>
      <c r="AM218" s="5">
        <v>1619409</v>
      </c>
      <c r="AN218" s="5" t="s">
        <v>80</v>
      </c>
      <c r="AO218" s="5">
        <v>1094010</v>
      </c>
      <c r="AP218" s="5" t="s">
        <v>81</v>
      </c>
      <c r="AQ218" s="5" t="s">
        <v>64</v>
      </c>
      <c r="AR218" s="5" t="s">
        <v>162</v>
      </c>
      <c r="AS218" s="5"/>
      <c r="AT218" s="5"/>
      <c r="AU218" s="5"/>
      <c r="AV218" s="5"/>
      <c r="AW218" s="8"/>
      <c r="AX218" t="s">
        <v>1135</v>
      </c>
      <c r="AY218" t="s">
        <v>2152</v>
      </c>
    </row>
    <row r="219" spans="1:51" x14ac:dyDescent="0.35">
      <c r="A219" s="4" t="s">
        <v>772</v>
      </c>
      <c r="B219" s="5" t="s">
        <v>772</v>
      </c>
      <c r="C219" s="5" t="s">
        <v>879</v>
      </c>
      <c r="D219" s="5" t="s">
        <v>50</v>
      </c>
      <c r="E219" s="5" t="s">
        <v>51</v>
      </c>
      <c r="F219" s="5" t="s">
        <v>774</v>
      </c>
      <c r="G219" s="5" t="s">
        <v>53</v>
      </c>
      <c r="H219" s="5" t="s">
        <v>54</v>
      </c>
      <c r="I219" s="5" t="s">
        <v>892</v>
      </c>
      <c r="J219" s="5" t="s">
        <v>56</v>
      </c>
      <c r="K219" s="5" t="s">
        <v>57</v>
      </c>
      <c r="L219" s="5" t="s">
        <v>58</v>
      </c>
      <c r="M219" s="5" t="s">
        <v>59</v>
      </c>
      <c r="N219" s="5" t="s">
        <v>60</v>
      </c>
      <c r="O219" s="5" t="s">
        <v>60</v>
      </c>
      <c r="P219" s="5" t="s">
        <v>61</v>
      </c>
      <c r="Q219" s="5" t="s">
        <v>62</v>
      </c>
      <c r="R219" s="5" t="s">
        <v>63</v>
      </c>
      <c r="S219" s="5" t="s">
        <v>64</v>
      </c>
      <c r="T219" s="5" t="s">
        <v>65</v>
      </c>
      <c r="U219" s="5" t="s">
        <v>66</v>
      </c>
      <c r="V219" s="5" t="s">
        <v>166</v>
      </c>
      <c r="W219" s="5" t="s">
        <v>893</v>
      </c>
      <c r="X219" s="5" t="s">
        <v>894</v>
      </c>
      <c r="Y219" s="5" t="s">
        <v>169</v>
      </c>
      <c r="Z219" s="5" t="s">
        <v>71</v>
      </c>
      <c r="AA219" s="5" t="s">
        <v>87</v>
      </c>
      <c r="AB219" s="5" t="s">
        <v>104</v>
      </c>
      <c r="AC219" s="5" t="s">
        <v>105</v>
      </c>
      <c r="AD219" s="5" t="s">
        <v>75</v>
      </c>
      <c r="AE219" s="5" t="s">
        <v>170</v>
      </c>
      <c r="AF219" s="6">
        <v>2920</v>
      </c>
      <c r="AG219" s="7">
        <v>1</v>
      </c>
      <c r="AH219" s="6">
        <v>2920</v>
      </c>
      <c r="AI219" s="5" t="s">
        <v>777</v>
      </c>
      <c r="AJ219" s="10">
        <v>45939</v>
      </c>
      <c r="AK219" s="5" t="s">
        <v>895</v>
      </c>
      <c r="AL219" s="5" t="s">
        <v>79</v>
      </c>
      <c r="AM219" s="5">
        <v>1619409</v>
      </c>
      <c r="AN219" s="5" t="s">
        <v>80</v>
      </c>
      <c r="AO219" s="5">
        <v>1094010</v>
      </c>
      <c r="AP219" s="5" t="s">
        <v>81</v>
      </c>
      <c r="AQ219" s="5" t="s">
        <v>64</v>
      </c>
      <c r="AR219" s="5" t="s">
        <v>894</v>
      </c>
      <c r="AS219" s="5"/>
      <c r="AT219" s="5"/>
      <c r="AU219" s="5"/>
      <c r="AV219" s="5"/>
      <c r="AW219" s="8"/>
      <c r="AX219" t="s">
        <v>1135</v>
      </c>
      <c r="AY219" t="s">
        <v>2152</v>
      </c>
    </row>
    <row r="220" spans="1:51" x14ac:dyDescent="0.35">
      <c r="A220" s="4" t="s">
        <v>772</v>
      </c>
      <c r="B220" s="5" t="s">
        <v>772</v>
      </c>
      <c r="C220" s="5" t="s">
        <v>879</v>
      </c>
      <c r="D220" s="5" t="s">
        <v>50</v>
      </c>
      <c r="E220" s="5" t="s">
        <v>51</v>
      </c>
      <c r="F220" s="5" t="s">
        <v>774</v>
      </c>
      <c r="G220" s="5" t="s">
        <v>53</v>
      </c>
      <c r="H220" s="5" t="s">
        <v>54</v>
      </c>
      <c r="I220" s="5" t="s">
        <v>892</v>
      </c>
      <c r="J220" s="5" t="s">
        <v>56</v>
      </c>
      <c r="K220" s="5" t="s">
        <v>57</v>
      </c>
      <c r="L220" s="5" t="s">
        <v>58</v>
      </c>
      <c r="M220" s="5" t="s">
        <v>59</v>
      </c>
      <c r="N220" s="5" t="s">
        <v>60</v>
      </c>
      <c r="O220" s="5" t="s">
        <v>60</v>
      </c>
      <c r="P220" s="5" t="s">
        <v>61</v>
      </c>
      <c r="Q220" s="5" t="s">
        <v>62</v>
      </c>
      <c r="R220" s="5" t="s">
        <v>63</v>
      </c>
      <c r="S220" s="5" t="s">
        <v>64</v>
      </c>
      <c r="T220" s="5" t="s">
        <v>65</v>
      </c>
      <c r="U220" s="5" t="s">
        <v>66</v>
      </c>
      <c r="V220" s="5" t="s">
        <v>896</v>
      </c>
      <c r="W220" s="5" t="s">
        <v>897</v>
      </c>
      <c r="X220" s="5" t="s">
        <v>459</v>
      </c>
      <c r="Y220" s="5" t="s">
        <v>898</v>
      </c>
      <c r="Z220" s="5" t="s">
        <v>71</v>
      </c>
      <c r="AA220" s="5" t="s">
        <v>87</v>
      </c>
      <c r="AB220" s="5" t="s">
        <v>88</v>
      </c>
      <c r="AC220" s="5" t="s">
        <v>89</v>
      </c>
      <c r="AD220" s="5" t="s">
        <v>75</v>
      </c>
      <c r="AE220" s="5" t="s">
        <v>243</v>
      </c>
      <c r="AF220" s="6">
        <v>4200</v>
      </c>
      <c r="AG220" s="7">
        <v>1</v>
      </c>
      <c r="AH220" s="6">
        <v>4200</v>
      </c>
      <c r="AI220" s="5" t="s">
        <v>899</v>
      </c>
      <c r="AJ220" s="10">
        <v>45939</v>
      </c>
      <c r="AK220" s="5" t="s">
        <v>895</v>
      </c>
      <c r="AL220" s="5" t="s">
        <v>79</v>
      </c>
      <c r="AM220" s="5">
        <v>1619409</v>
      </c>
      <c r="AN220" s="5" t="s">
        <v>80</v>
      </c>
      <c r="AO220" s="5">
        <v>1094010</v>
      </c>
      <c r="AP220" s="5" t="s">
        <v>81</v>
      </c>
      <c r="AQ220" s="5" t="s">
        <v>64</v>
      </c>
      <c r="AR220" s="5" t="s">
        <v>459</v>
      </c>
      <c r="AS220" s="5"/>
      <c r="AT220" s="5"/>
      <c r="AU220" s="5"/>
      <c r="AV220" s="5"/>
      <c r="AW220" s="8"/>
      <c r="AX220" t="s">
        <v>1135</v>
      </c>
      <c r="AY220" t="s">
        <v>2152</v>
      </c>
    </row>
    <row r="221" spans="1:51" x14ac:dyDescent="0.35">
      <c r="A221" s="4" t="s">
        <v>772</v>
      </c>
      <c r="B221" s="5" t="s">
        <v>772</v>
      </c>
      <c r="C221" s="5" t="s">
        <v>879</v>
      </c>
      <c r="D221" s="5" t="s">
        <v>50</v>
      </c>
      <c r="E221" s="5" t="s">
        <v>51</v>
      </c>
      <c r="F221" s="5" t="s">
        <v>774</v>
      </c>
      <c r="G221" s="5" t="s">
        <v>53</v>
      </c>
      <c r="H221" s="5" t="s">
        <v>54</v>
      </c>
      <c r="I221" s="5" t="s">
        <v>892</v>
      </c>
      <c r="J221" s="5" t="s">
        <v>56</v>
      </c>
      <c r="K221" s="5" t="s">
        <v>57</v>
      </c>
      <c r="L221" s="5" t="s">
        <v>58</v>
      </c>
      <c r="M221" s="5" t="s">
        <v>59</v>
      </c>
      <c r="N221" s="5" t="s">
        <v>60</v>
      </c>
      <c r="O221" s="5" t="s">
        <v>60</v>
      </c>
      <c r="P221" s="5" t="s">
        <v>61</v>
      </c>
      <c r="Q221" s="5" t="s">
        <v>62</v>
      </c>
      <c r="R221" s="5" t="s">
        <v>63</v>
      </c>
      <c r="S221" s="5" t="s">
        <v>64</v>
      </c>
      <c r="T221" s="5" t="s">
        <v>65</v>
      </c>
      <c r="U221" s="5" t="s">
        <v>66</v>
      </c>
      <c r="V221" s="5" t="s">
        <v>333</v>
      </c>
      <c r="W221" s="5" t="s">
        <v>900</v>
      </c>
      <c r="X221" s="5" t="s">
        <v>110</v>
      </c>
      <c r="Y221" s="5" t="s">
        <v>335</v>
      </c>
      <c r="Z221" s="5" t="s">
        <v>71</v>
      </c>
      <c r="AA221" s="5" t="s">
        <v>72</v>
      </c>
      <c r="AB221" s="5" t="s">
        <v>73</v>
      </c>
      <c r="AC221" s="5" t="s">
        <v>74</v>
      </c>
      <c r="AD221" s="5" t="s">
        <v>75</v>
      </c>
      <c r="AE221" s="5" t="s">
        <v>336</v>
      </c>
      <c r="AF221" s="6">
        <v>35818.480000000003</v>
      </c>
      <c r="AG221" s="7">
        <v>1</v>
      </c>
      <c r="AH221" s="6">
        <v>35818.480000000003</v>
      </c>
      <c r="AI221" s="5" t="s">
        <v>901</v>
      </c>
      <c r="AJ221" s="10">
        <v>45939</v>
      </c>
      <c r="AK221" s="5" t="s">
        <v>895</v>
      </c>
      <c r="AL221" s="5" t="s">
        <v>79</v>
      </c>
      <c r="AM221" s="5">
        <v>1619409</v>
      </c>
      <c r="AN221" s="5" t="s">
        <v>80</v>
      </c>
      <c r="AO221" s="5">
        <v>1094010</v>
      </c>
      <c r="AP221" s="5" t="s">
        <v>81</v>
      </c>
      <c r="AQ221" s="5" t="s">
        <v>64</v>
      </c>
      <c r="AR221" s="5" t="s">
        <v>110</v>
      </c>
      <c r="AS221" s="5"/>
      <c r="AT221" s="5"/>
      <c r="AU221" s="5"/>
      <c r="AV221" s="5"/>
      <c r="AW221" s="8"/>
      <c r="AX221" t="s">
        <v>1135</v>
      </c>
      <c r="AY221" t="s">
        <v>2152</v>
      </c>
    </row>
    <row r="222" spans="1:51" x14ac:dyDescent="0.35">
      <c r="A222" s="4" t="s">
        <v>772</v>
      </c>
      <c r="B222" s="5" t="s">
        <v>772</v>
      </c>
      <c r="C222" s="5" t="s">
        <v>879</v>
      </c>
      <c r="D222" s="5" t="s">
        <v>50</v>
      </c>
      <c r="E222" s="5" t="s">
        <v>51</v>
      </c>
      <c r="F222" s="5" t="s">
        <v>774</v>
      </c>
      <c r="G222" s="5" t="s">
        <v>53</v>
      </c>
      <c r="H222" s="5" t="s">
        <v>54</v>
      </c>
      <c r="I222" s="5" t="s">
        <v>902</v>
      </c>
      <c r="J222" s="5" t="s">
        <v>56</v>
      </c>
      <c r="K222" s="5" t="s">
        <v>57</v>
      </c>
      <c r="L222" s="5" t="s">
        <v>58</v>
      </c>
      <c r="M222" s="5" t="s">
        <v>59</v>
      </c>
      <c r="N222" s="5" t="s">
        <v>60</v>
      </c>
      <c r="O222" s="5" t="s">
        <v>60</v>
      </c>
      <c r="P222" s="5" t="s">
        <v>61</v>
      </c>
      <c r="Q222" s="5" t="s">
        <v>62</v>
      </c>
      <c r="R222" s="5" t="s">
        <v>63</v>
      </c>
      <c r="S222" s="5" t="s">
        <v>64</v>
      </c>
      <c r="T222" s="5" t="s">
        <v>65</v>
      </c>
      <c r="U222" s="5" t="s">
        <v>66</v>
      </c>
      <c r="V222" s="5" t="s">
        <v>478</v>
      </c>
      <c r="W222" s="5" t="s">
        <v>903</v>
      </c>
      <c r="X222" s="5" t="s">
        <v>218</v>
      </c>
      <c r="Y222" s="5" t="s">
        <v>480</v>
      </c>
      <c r="Z222" s="5" t="s">
        <v>71</v>
      </c>
      <c r="AA222" s="5" t="s">
        <v>87</v>
      </c>
      <c r="AB222" s="5" t="s">
        <v>88</v>
      </c>
      <c r="AC222" s="5" t="s">
        <v>89</v>
      </c>
      <c r="AD222" s="5" t="s">
        <v>75</v>
      </c>
      <c r="AE222" s="5" t="s">
        <v>124</v>
      </c>
      <c r="AF222" s="6">
        <v>4326</v>
      </c>
      <c r="AG222" s="7">
        <v>1</v>
      </c>
      <c r="AH222" s="6">
        <v>4326</v>
      </c>
      <c r="AI222" s="5" t="s">
        <v>154</v>
      </c>
      <c r="AJ222" s="10">
        <v>45939</v>
      </c>
      <c r="AK222" s="5" t="s">
        <v>904</v>
      </c>
      <c r="AL222" s="5" t="s">
        <v>79</v>
      </c>
      <c r="AM222" s="5">
        <v>1619409</v>
      </c>
      <c r="AN222" s="5" t="s">
        <v>80</v>
      </c>
      <c r="AO222" s="5">
        <v>1094010</v>
      </c>
      <c r="AP222" s="5" t="s">
        <v>81</v>
      </c>
      <c r="AQ222" s="5" t="s">
        <v>64</v>
      </c>
      <c r="AR222" s="5" t="s">
        <v>218</v>
      </c>
      <c r="AS222" s="5"/>
      <c r="AT222" s="5"/>
      <c r="AU222" s="5"/>
      <c r="AV222" s="5"/>
      <c r="AW222" s="8"/>
      <c r="AX222" t="s">
        <v>1135</v>
      </c>
      <c r="AY222" t="s">
        <v>2152</v>
      </c>
    </row>
    <row r="223" spans="1:51" x14ac:dyDescent="0.35">
      <c r="A223" s="4" t="s">
        <v>772</v>
      </c>
      <c r="B223" s="5" t="s">
        <v>772</v>
      </c>
      <c r="C223" s="5" t="s">
        <v>879</v>
      </c>
      <c r="D223" s="5" t="s">
        <v>50</v>
      </c>
      <c r="E223" s="5" t="s">
        <v>51</v>
      </c>
      <c r="F223" s="5" t="s">
        <v>774</v>
      </c>
      <c r="G223" s="5" t="s">
        <v>53</v>
      </c>
      <c r="H223" s="5" t="s">
        <v>54</v>
      </c>
      <c r="I223" s="5" t="s">
        <v>902</v>
      </c>
      <c r="J223" s="5" t="s">
        <v>56</v>
      </c>
      <c r="K223" s="5" t="s">
        <v>57</v>
      </c>
      <c r="L223" s="5" t="s">
        <v>58</v>
      </c>
      <c r="M223" s="5" t="s">
        <v>59</v>
      </c>
      <c r="N223" s="5" t="s">
        <v>60</v>
      </c>
      <c r="O223" s="5" t="s">
        <v>60</v>
      </c>
      <c r="P223" s="5" t="s">
        <v>61</v>
      </c>
      <c r="Q223" s="5" t="s">
        <v>62</v>
      </c>
      <c r="R223" s="5" t="s">
        <v>63</v>
      </c>
      <c r="S223" s="5" t="s">
        <v>64</v>
      </c>
      <c r="T223" s="5" t="s">
        <v>65</v>
      </c>
      <c r="U223" s="5" t="s">
        <v>66</v>
      </c>
      <c r="V223" s="5" t="s">
        <v>363</v>
      </c>
      <c r="W223" s="5" t="s">
        <v>845</v>
      </c>
      <c r="X223" s="5" t="s">
        <v>207</v>
      </c>
      <c r="Y223" s="5" t="s">
        <v>365</v>
      </c>
      <c r="Z223" s="5" t="s">
        <v>71</v>
      </c>
      <c r="AA223" s="5" t="s">
        <v>366</v>
      </c>
      <c r="AB223" s="5" t="s">
        <v>367</v>
      </c>
      <c r="AC223" s="5" t="s">
        <v>368</v>
      </c>
      <c r="AD223" s="5" t="s">
        <v>75</v>
      </c>
      <c r="AE223" s="5" t="s">
        <v>369</v>
      </c>
      <c r="AF223" s="6">
        <v>35226</v>
      </c>
      <c r="AG223" s="7">
        <v>1</v>
      </c>
      <c r="AH223" s="6">
        <v>35226</v>
      </c>
      <c r="AI223" s="5" t="s">
        <v>154</v>
      </c>
      <c r="AJ223" s="10">
        <v>45939</v>
      </c>
      <c r="AK223" s="5" t="s">
        <v>904</v>
      </c>
      <c r="AL223" s="5" t="s">
        <v>79</v>
      </c>
      <c r="AM223" s="5">
        <v>1619409</v>
      </c>
      <c r="AN223" s="5" t="s">
        <v>80</v>
      </c>
      <c r="AO223" s="5">
        <v>1094010</v>
      </c>
      <c r="AP223" s="5" t="s">
        <v>81</v>
      </c>
      <c r="AQ223" s="5" t="s">
        <v>64</v>
      </c>
      <c r="AR223" s="5" t="s">
        <v>207</v>
      </c>
      <c r="AS223" s="5"/>
      <c r="AT223" s="5"/>
      <c r="AU223" s="5"/>
      <c r="AV223" s="5"/>
      <c r="AW223" s="8"/>
      <c r="AX223" t="s">
        <v>1135</v>
      </c>
      <c r="AY223" t="s">
        <v>2152</v>
      </c>
    </row>
    <row r="224" spans="1:51" x14ac:dyDescent="0.35">
      <c r="A224" s="4" t="s">
        <v>772</v>
      </c>
      <c r="B224" s="5" t="s">
        <v>772</v>
      </c>
      <c r="C224" s="5" t="s">
        <v>879</v>
      </c>
      <c r="D224" s="5" t="s">
        <v>50</v>
      </c>
      <c r="E224" s="5" t="s">
        <v>51</v>
      </c>
      <c r="F224" s="5" t="s">
        <v>774</v>
      </c>
      <c r="G224" s="5" t="s">
        <v>53</v>
      </c>
      <c r="H224" s="5" t="s">
        <v>54</v>
      </c>
      <c r="I224" s="5" t="s">
        <v>905</v>
      </c>
      <c r="J224" s="5" t="s">
        <v>56</v>
      </c>
      <c r="K224" s="5" t="s">
        <v>57</v>
      </c>
      <c r="L224" s="5" t="s">
        <v>58</v>
      </c>
      <c r="M224" s="5" t="s">
        <v>59</v>
      </c>
      <c r="N224" s="5" t="s">
        <v>60</v>
      </c>
      <c r="O224" s="5" t="s">
        <v>60</v>
      </c>
      <c r="P224" s="5" t="s">
        <v>61</v>
      </c>
      <c r="Q224" s="5" t="s">
        <v>62</v>
      </c>
      <c r="R224" s="5" t="s">
        <v>63</v>
      </c>
      <c r="S224" s="5" t="s">
        <v>64</v>
      </c>
      <c r="T224" s="5" t="s">
        <v>65</v>
      </c>
      <c r="U224" s="5" t="s">
        <v>66</v>
      </c>
      <c r="V224" s="5" t="s">
        <v>101</v>
      </c>
      <c r="W224" s="5" t="s">
        <v>906</v>
      </c>
      <c r="X224" s="5" t="s">
        <v>146</v>
      </c>
      <c r="Y224" s="5" t="s">
        <v>103</v>
      </c>
      <c r="Z224" s="5" t="s">
        <v>71</v>
      </c>
      <c r="AA224" s="5" t="s">
        <v>87</v>
      </c>
      <c r="AB224" s="5" t="s">
        <v>104</v>
      </c>
      <c r="AC224" s="5" t="s">
        <v>105</v>
      </c>
      <c r="AD224" s="5" t="s">
        <v>75</v>
      </c>
      <c r="AE224" s="5" t="s">
        <v>106</v>
      </c>
      <c r="AF224" s="6">
        <v>2835</v>
      </c>
      <c r="AG224" s="7">
        <v>1</v>
      </c>
      <c r="AH224" s="6">
        <v>2835</v>
      </c>
      <c r="AI224" s="5" t="s">
        <v>907</v>
      </c>
      <c r="AJ224" s="10">
        <v>45939</v>
      </c>
      <c r="AK224" s="5" t="s">
        <v>886</v>
      </c>
      <c r="AL224" s="5" t="s">
        <v>79</v>
      </c>
      <c r="AM224" s="5">
        <v>1619409</v>
      </c>
      <c r="AN224" s="5" t="s">
        <v>80</v>
      </c>
      <c r="AO224" s="5">
        <v>1094010</v>
      </c>
      <c r="AP224" s="5" t="s">
        <v>81</v>
      </c>
      <c r="AQ224" s="5" t="s">
        <v>64</v>
      </c>
      <c r="AR224" s="5" t="s">
        <v>146</v>
      </c>
      <c r="AS224" s="5"/>
      <c r="AT224" s="5"/>
      <c r="AU224" s="5"/>
      <c r="AV224" s="5"/>
      <c r="AW224" s="8"/>
      <c r="AX224" t="s">
        <v>1135</v>
      </c>
      <c r="AY224" t="s">
        <v>2152</v>
      </c>
    </row>
    <row r="225" spans="1:51" x14ac:dyDescent="0.35">
      <c r="A225" s="4" t="s">
        <v>772</v>
      </c>
      <c r="B225" s="5" t="s">
        <v>772</v>
      </c>
      <c r="C225" s="5" t="s">
        <v>879</v>
      </c>
      <c r="D225" s="5" t="s">
        <v>50</v>
      </c>
      <c r="E225" s="5" t="s">
        <v>51</v>
      </c>
      <c r="F225" s="5" t="s">
        <v>774</v>
      </c>
      <c r="G225" s="5" t="s">
        <v>53</v>
      </c>
      <c r="H225" s="5" t="s">
        <v>54</v>
      </c>
      <c r="I225" s="5" t="s">
        <v>905</v>
      </c>
      <c r="J225" s="5" t="s">
        <v>56</v>
      </c>
      <c r="K225" s="5" t="s">
        <v>57</v>
      </c>
      <c r="L225" s="5" t="s">
        <v>58</v>
      </c>
      <c r="M225" s="5" t="s">
        <v>59</v>
      </c>
      <c r="N225" s="5" t="s">
        <v>60</v>
      </c>
      <c r="O225" s="5" t="s">
        <v>60</v>
      </c>
      <c r="P225" s="5" t="s">
        <v>61</v>
      </c>
      <c r="Q225" s="5" t="s">
        <v>62</v>
      </c>
      <c r="R225" s="5" t="s">
        <v>63</v>
      </c>
      <c r="S225" s="5" t="s">
        <v>64</v>
      </c>
      <c r="T225" s="5" t="s">
        <v>65</v>
      </c>
      <c r="U225" s="5" t="s">
        <v>66</v>
      </c>
      <c r="V225" s="5" t="s">
        <v>660</v>
      </c>
      <c r="W225" s="5" t="s">
        <v>908</v>
      </c>
      <c r="X225" s="5" t="s">
        <v>110</v>
      </c>
      <c r="Y225" s="5" t="s">
        <v>662</v>
      </c>
      <c r="Z225" s="5" t="s">
        <v>71</v>
      </c>
      <c r="AA225" s="5" t="s">
        <v>87</v>
      </c>
      <c r="AB225" s="5" t="s">
        <v>88</v>
      </c>
      <c r="AC225" s="5" t="s">
        <v>89</v>
      </c>
      <c r="AD225" s="5" t="s">
        <v>75</v>
      </c>
      <c r="AE225" s="5" t="s">
        <v>243</v>
      </c>
      <c r="AF225" s="6">
        <v>4200</v>
      </c>
      <c r="AG225" s="7">
        <v>1</v>
      </c>
      <c r="AH225" s="6">
        <v>4200</v>
      </c>
      <c r="AI225" s="5" t="s">
        <v>909</v>
      </c>
      <c r="AJ225" s="10">
        <v>45939</v>
      </c>
      <c r="AK225" s="5" t="s">
        <v>886</v>
      </c>
      <c r="AL225" s="5" t="s">
        <v>79</v>
      </c>
      <c r="AM225" s="5">
        <v>1619409</v>
      </c>
      <c r="AN225" s="5" t="s">
        <v>80</v>
      </c>
      <c r="AO225" s="5">
        <v>1094010</v>
      </c>
      <c r="AP225" s="5" t="s">
        <v>81</v>
      </c>
      <c r="AQ225" s="5" t="s">
        <v>64</v>
      </c>
      <c r="AR225" s="5" t="s">
        <v>110</v>
      </c>
      <c r="AS225" s="5"/>
      <c r="AT225" s="5"/>
      <c r="AU225" s="5"/>
      <c r="AV225" s="5"/>
      <c r="AW225" s="8"/>
      <c r="AX225" t="s">
        <v>1135</v>
      </c>
      <c r="AY225" t="s">
        <v>2152</v>
      </c>
    </row>
    <row r="226" spans="1:51" x14ac:dyDescent="0.35">
      <c r="A226" s="4" t="s">
        <v>772</v>
      </c>
      <c r="B226" s="5" t="s">
        <v>772</v>
      </c>
      <c r="C226" s="5" t="s">
        <v>879</v>
      </c>
      <c r="D226" s="5" t="s">
        <v>50</v>
      </c>
      <c r="E226" s="5" t="s">
        <v>51</v>
      </c>
      <c r="F226" s="5" t="s">
        <v>774</v>
      </c>
      <c r="G226" s="5" t="s">
        <v>53</v>
      </c>
      <c r="H226" s="5" t="s">
        <v>54</v>
      </c>
      <c r="I226" s="5" t="s">
        <v>905</v>
      </c>
      <c r="J226" s="5" t="s">
        <v>56</v>
      </c>
      <c r="K226" s="5" t="s">
        <v>57</v>
      </c>
      <c r="L226" s="5" t="s">
        <v>58</v>
      </c>
      <c r="M226" s="5" t="s">
        <v>59</v>
      </c>
      <c r="N226" s="5" t="s">
        <v>60</v>
      </c>
      <c r="O226" s="5" t="s">
        <v>60</v>
      </c>
      <c r="P226" s="5" t="s">
        <v>61</v>
      </c>
      <c r="Q226" s="5" t="s">
        <v>62</v>
      </c>
      <c r="R226" s="5" t="s">
        <v>63</v>
      </c>
      <c r="S226" s="5" t="s">
        <v>64</v>
      </c>
      <c r="T226" s="5" t="s">
        <v>65</v>
      </c>
      <c r="U226" s="5" t="s">
        <v>66</v>
      </c>
      <c r="V226" s="5" t="s">
        <v>896</v>
      </c>
      <c r="W226" s="5" t="s">
        <v>910</v>
      </c>
      <c r="X226" s="5" t="s">
        <v>69</v>
      </c>
      <c r="Y226" s="5" t="s">
        <v>898</v>
      </c>
      <c r="Z226" s="5" t="s">
        <v>71</v>
      </c>
      <c r="AA226" s="5" t="s">
        <v>87</v>
      </c>
      <c r="AB226" s="5" t="s">
        <v>88</v>
      </c>
      <c r="AC226" s="5" t="s">
        <v>89</v>
      </c>
      <c r="AD226" s="5" t="s">
        <v>75</v>
      </c>
      <c r="AE226" s="5" t="s">
        <v>243</v>
      </c>
      <c r="AF226" s="6">
        <v>4326</v>
      </c>
      <c r="AG226" s="7">
        <v>1</v>
      </c>
      <c r="AH226" s="6">
        <v>4326</v>
      </c>
      <c r="AI226" s="5" t="s">
        <v>390</v>
      </c>
      <c r="AJ226" s="10">
        <v>45939</v>
      </c>
      <c r="AK226" s="5" t="s">
        <v>886</v>
      </c>
      <c r="AL226" s="5" t="s">
        <v>79</v>
      </c>
      <c r="AM226" s="5">
        <v>1619409</v>
      </c>
      <c r="AN226" s="5" t="s">
        <v>80</v>
      </c>
      <c r="AO226" s="5">
        <v>1094010</v>
      </c>
      <c r="AP226" s="5" t="s">
        <v>81</v>
      </c>
      <c r="AQ226" s="5" t="s">
        <v>64</v>
      </c>
      <c r="AR226" s="5" t="s">
        <v>69</v>
      </c>
      <c r="AS226" s="5"/>
      <c r="AT226" s="5"/>
      <c r="AU226" s="5"/>
      <c r="AV226" s="5"/>
      <c r="AW226" s="8"/>
      <c r="AX226" t="s">
        <v>1135</v>
      </c>
      <c r="AY226" t="s">
        <v>2152</v>
      </c>
    </row>
    <row r="227" spans="1:51" x14ac:dyDescent="0.35">
      <c r="A227" s="4" t="s">
        <v>772</v>
      </c>
      <c r="B227" s="5" t="s">
        <v>772</v>
      </c>
      <c r="C227" s="5" t="s">
        <v>879</v>
      </c>
      <c r="D227" s="5" t="s">
        <v>50</v>
      </c>
      <c r="E227" s="5" t="s">
        <v>51</v>
      </c>
      <c r="F227" s="5" t="s">
        <v>774</v>
      </c>
      <c r="G227" s="5" t="s">
        <v>53</v>
      </c>
      <c r="H227" s="5" t="s">
        <v>54</v>
      </c>
      <c r="I227" s="5" t="s">
        <v>905</v>
      </c>
      <c r="J227" s="5" t="s">
        <v>56</v>
      </c>
      <c r="K227" s="5" t="s">
        <v>57</v>
      </c>
      <c r="L227" s="5" t="s">
        <v>58</v>
      </c>
      <c r="M227" s="5" t="s">
        <v>59</v>
      </c>
      <c r="N227" s="5" t="s">
        <v>60</v>
      </c>
      <c r="O227" s="5" t="s">
        <v>60</v>
      </c>
      <c r="P227" s="5" t="s">
        <v>61</v>
      </c>
      <c r="Q227" s="5" t="s">
        <v>62</v>
      </c>
      <c r="R227" s="5" t="s">
        <v>63</v>
      </c>
      <c r="S227" s="5" t="s">
        <v>64</v>
      </c>
      <c r="T227" s="5" t="s">
        <v>65</v>
      </c>
      <c r="U227" s="5" t="s">
        <v>66</v>
      </c>
      <c r="V227" s="5" t="s">
        <v>548</v>
      </c>
      <c r="W227" s="5" t="s">
        <v>563</v>
      </c>
      <c r="X227" s="5" t="s">
        <v>218</v>
      </c>
      <c r="Y227" s="5" t="s">
        <v>550</v>
      </c>
      <c r="Z227" s="5" t="s">
        <v>71</v>
      </c>
      <c r="AA227" s="5" t="s">
        <v>87</v>
      </c>
      <c r="AB227" s="5" t="s">
        <v>88</v>
      </c>
      <c r="AC227" s="5" t="s">
        <v>89</v>
      </c>
      <c r="AD227" s="5" t="s">
        <v>75</v>
      </c>
      <c r="AE227" s="5" t="s">
        <v>117</v>
      </c>
      <c r="AF227" s="6">
        <v>4326</v>
      </c>
      <c r="AG227" s="7">
        <v>1</v>
      </c>
      <c r="AH227" s="6">
        <v>4326</v>
      </c>
      <c r="AI227" s="5" t="s">
        <v>91</v>
      </c>
      <c r="AJ227" s="10">
        <v>45939</v>
      </c>
      <c r="AK227" s="5" t="s">
        <v>886</v>
      </c>
      <c r="AL227" s="5" t="s">
        <v>79</v>
      </c>
      <c r="AM227" s="5">
        <v>1619409</v>
      </c>
      <c r="AN227" s="5" t="s">
        <v>80</v>
      </c>
      <c r="AO227" s="5">
        <v>1094010</v>
      </c>
      <c r="AP227" s="5" t="s">
        <v>81</v>
      </c>
      <c r="AQ227" s="5" t="s">
        <v>64</v>
      </c>
      <c r="AR227" s="5" t="s">
        <v>218</v>
      </c>
      <c r="AS227" s="5"/>
      <c r="AT227" s="5"/>
      <c r="AU227" s="5"/>
      <c r="AV227" s="5"/>
      <c r="AW227" s="8"/>
      <c r="AX227" t="s">
        <v>1135</v>
      </c>
      <c r="AY227" t="s">
        <v>2152</v>
      </c>
    </row>
    <row r="228" spans="1:51" x14ac:dyDescent="0.35">
      <c r="A228" s="4" t="s">
        <v>772</v>
      </c>
      <c r="B228" s="5" t="s">
        <v>772</v>
      </c>
      <c r="C228" s="5" t="s">
        <v>879</v>
      </c>
      <c r="D228" s="5" t="s">
        <v>50</v>
      </c>
      <c r="E228" s="5" t="s">
        <v>51</v>
      </c>
      <c r="F228" s="5" t="s">
        <v>774</v>
      </c>
      <c r="G228" s="5" t="s">
        <v>53</v>
      </c>
      <c r="H228" s="5" t="s">
        <v>54</v>
      </c>
      <c r="I228" s="5" t="s">
        <v>905</v>
      </c>
      <c r="J228" s="5" t="s">
        <v>56</v>
      </c>
      <c r="K228" s="5" t="s">
        <v>57</v>
      </c>
      <c r="L228" s="5" t="s">
        <v>58</v>
      </c>
      <c r="M228" s="5" t="s">
        <v>59</v>
      </c>
      <c r="N228" s="5" t="s">
        <v>60</v>
      </c>
      <c r="O228" s="5" t="s">
        <v>60</v>
      </c>
      <c r="P228" s="5" t="s">
        <v>61</v>
      </c>
      <c r="Q228" s="5" t="s">
        <v>62</v>
      </c>
      <c r="R228" s="5" t="s">
        <v>63</v>
      </c>
      <c r="S228" s="5" t="s">
        <v>64</v>
      </c>
      <c r="T228" s="5" t="s">
        <v>65</v>
      </c>
      <c r="U228" s="5" t="s">
        <v>66</v>
      </c>
      <c r="V228" s="5" t="s">
        <v>572</v>
      </c>
      <c r="W228" s="5" t="s">
        <v>911</v>
      </c>
      <c r="X228" s="5" t="s">
        <v>207</v>
      </c>
      <c r="Y228" s="5" t="s">
        <v>574</v>
      </c>
      <c r="Z228" s="5" t="s">
        <v>71</v>
      </c>
      <c r="AA228" s="5" t="s">
        <v>249</v>
      </c>
      <c r="AB228" s="5" t="s">
        <v>250</v>
      </c>
      <c r="AC228" s="5" t="s">
        <v>251</v>
      </c>
      <c r="AD228" s="5" t="s">
        <v>75</v>
      </c>
      <c r="AE228" s="5" t="s">
        <v>315</v>
      </c>
      <c r="AF228" s="6">
        <v>30900</v>
      </c>
      <c r="AG228" s="7">
        <v>1</v>
      </c>
      <c r="AH228" s="6">
        <v>30900</v>
      </c>
      <c r="AI228" s="5" t="s">
        <v>710</v>
      </c>
      <c r="AJ228" s="10">
        <v>45939</v>
      </c>
      <c r="AK228" s="5" t="s">
        <v>886</v>
      </c>
      <c r="AL228" s="5" t="s">
        <v>79</v>
      </c>
      <c r="AM228" s="5">
        <v>1619409</v>
      </c>
      <c r="AN228" s="5" t="s">
        <v>80</v>
      </c>
      <c r="AO228" s="5">
        <v>1094010</v>
      </c>
      <c r="AP228" s="5" t="s">
        <v>81</v>
      </c>
      <c r="AQ228" s="5" t="s">
        <v>64</v>
      </c>
      <c r="AR228" s="5" t="s">
        <v>207</v>
      </c>
      <c r="AS228" s="5"/>
      <c r="AT228" s="5"/>
      <c r="AU228" s="5"/>
      <c r="AV228" s="5"/>
      <c r="AW228" s="8"/>
      <c r="AX228" t="s">
        <v>1135</v>
      </c>
      <c r="AY228" t="s">
        <v>2152</v>
      </c>
    </row>
    <row r="229" spans="1:51" x14ac:dyDescent="0.35">
      <c r="A229" s="4" t="s">
        <v>772</v>
      </c>
      <c r="B229" s="5" t="s">
        <v>772</v>
      </c>
      <c r="C229" s="5" t="s">
        <v>879</v>
      </c>
      <c r="D229" s="5" t="s">
        <v>50</v>
      </c>
      <c r="E229" s="5" t="s">
        <v>51</v>
      </c>
      <c r="F229" s="5" t="s">
        <v>774</v>
      </c>
      <c r="G229" s="5" t="s">
        <v>53</v>
      </c>
      <c r="H229" s="5" t="s">
        <v>54</v>
      </c>
      <c r="I229" s="5" t="s">
        <v>905</v>
      </c>
      <c r="J229" s="5" t="s">
        <v>56</v>
      </c>
      <c r="K229" s="5" t="s">
        <v>57</v>
      </c>
      <c r="L229" s="5" t="s">
        <v>58</v>
      </c>
      <c r="M229" s="5" t="s">
        <v>59</v>
      </c>
      <c r="N229" s="5" t="s">
        <v>60</v>
      </c>
      <c r="O229" s="5" t="s">
        <v>60</v>
      </c>
      <c r="P229" s="5" t="s">
        <v>61</v>
      </c>
      <c r="Q229" s="5" t="s">
        <v>62</v>
      </c>
      <c r="R229" s="5" t="s">
        <v>63</v>
      </c>
      <c r="S229" s="5" t="s">
        <v>64</v>
      </c>
      <c r="T229" s="5" t="s">
        <v>65</v>
      </c>
      <c r="U229" s="5" t="s">
        <v>66</v>
      </c>
      <c r="V229" s="5" t="s">
        <v>297</v>
      </c>
      <c r="W229" s="5" t="s">
        <v>912</v>
      </c>
      <c r="X229" s="5" t="s">
        <v>453</v>
      </c>
      <c r="Y229" s="5" t="s">
        <v>299</v>
      </c>
      <c r="Z229" s="5" t="s">
        <v>71</v>
      </c>
      <c r="AA229" s="5" t="s">
        <v>72</v>
      </c>
      <c r="AB229" s="5" t="s">
        <v>73</v>
      </c>
      <c r="AC229" s="5" t="s">
        <v>74</v>
      </c>
      <c r="AD229" s="5" t="s">
        <v>75</v>
      </c>
      <c r="AE229" s="5" t="s">
        <v>300</v>
      </c>
      <c r="AF229" s="6">
        <v>35203.86</v>
      </c>
      <c r="AG229" s="7">
        <v>1</v>
      </c>
      <c r="AH229" s="6">
        <v>35203.86</v>
      </c>
      <c r="AI229" s="5" t="s">
        <v>913</v>
      </c>
      <c r="AJ229" s="10">
        <v>45939</v>
      </c>
      <c r="AK229" s="5" t="s">
        <v>886</v>
      </c>
      <c r="AL229" s="5" t="s">
        <v>79</v>
      </c>
      <c r="AM229" s="5">
        <v>1619409</v>
      </c>
      <c r="AN229" s="5" t="s">
        <v>80</v>
      </c>
      <c r="AO229" s="5">
        <v>1094010</v>
      </c>
      <c r="AP229" s="5" t="s">
        <v>81</v>
      </c>
      <c r="AQ229" s="5" t="s">
        <v>64</v>
      </c>
      <c r="AR229" s="5" t="s">
        <v>453</v>
      </c>
      <c r="AS229" s="5"/>
      <c r="AT229" s="5"/>
      <c r="AU229" s="5"/>
      <c r="AV229" s="5"/>
      <c r="AW229" s="8"/>
      <c r="AX229" t="s">
        <v>1135</v>
      </c>
      <c r="AY229" t="s">
        <v>2152</v>
      </c>
    </row>
    <row r="230" spans="1:51" x14ac:dyDescent="0.35">
      <c r="A230" s="4" t="s">
        <v>772</v>
      </c>
      <c r="B230" s="5" t="s">
        <v>772</v>
      </c>
      <c r="C230" s="5" t="s">
        <v>879</v>
      </c>
      <c r="D230" s="5" t="s">
        <v>50</v>
      </c>
      <c r="E230" s="5" t="s">
        <v>51</v>
      </c>
      <c r="F230" s="5" t="s">
        <v>774</v>
      </c>
      <c r="G230" s="5" t="s">
        <v>53</v>
      </c>
      <c r="H230" s="5" t="s">
        <v>54</v>
      </c>
      <c r="I230" s="5" t="s">
        <v>905</v>
      </c>
      <c r="J230" s="5" t="s">
        <v>56</v>
      </c>
      <c r="K230" s="5" t="s">
        <v>57</v>
      </c>
      <c r="L230" s="5" t="s">
        <v>58</v>
      </c>
      <c r="M230" s="5" t="s">
        <v>59</v>
      </c>
      <c r="N230" s="5" t="s">
        <v>60</v>
      </c>
      <c r="O230" s="5" t="s">
        <v>60</v>
      </c>
      <c r="P230" s="5" t="s">
        <v>61</v>
      </c>
      <c r="Q230" s="5" t="s">
        <v>62</v>
      </c>
      <c r="R230" s="5" t="s">
        <v>63</v>
      </c>
      <c r="S230" s="5" t="s">
        <v>64</v>
      </c>
      <c r="T230" s="5" t="s">
        <v>65</v>
      </c>
      <c r="U230" s="5" t="s">
        <v>66</v>
      </c>
      <c r="V230" s="5" t="s">
        <v>205</v>
      </c>
      <c r="W230" s="5" t="s">
        <v>914</v>
      </c>
      <c r="X230" s="5" t="s">
        <v>85</v>
      </c>
      <c r="Y230" s="5" t="s">
        <v>208</v>
      </c>
      <c r="Z230" s="5" t="s">
        <v>71</v>
      </c>
      <c r="AA230" s="5" t="s">
        <v>72</v>
      </c>
      <c r="AB230" s="5" t="s">
        <v>73</v>
      </c>
      <c r="AC230" s="5" t="s">
        <v>74</v>
      </c>
      <c r="AD230" s="5" t="s">
        <v>75</v>
      </c>
      <c r="AE230" s="5" t="s">
        <v>76</v>
      </c>
      <c r="AF230" s="6">
        <v>35818.480000000003</v>
      </c>
      <c r="AG230" s="7">
        <v>1</v>
      </c>
      <c r="AH230" s="6">
        <v>35818.480000000003</v>
      </c>
      <c r="AI230" s="5" t="s">
        <v>379</v>
      </c>
      <c r="AJ230" s="10">
        <v>45939</v>
      </c>
      <c r="AK230" s="5" t="s">
        <v>886</v>
      </c>
      <c r="AL230" s="5" t="s">
        <v>79</v>
      </c>
      <c r="AM230" s="5">
        <v>1619409</v>
      </c>
      <c r="AN230" s="5" t="s">
        <v>80</v>
      </c>
      <c r="AO230" s="5">
        <v>1094010</v>
      </c>
      <c r="AP230" s="5" t="s">
        <v>81</v>
      </c>
      <c r="AQ230" s="5" t="s">
        <v>64</v>
      </c>
      <c r="AR230" s="5" t="s">
        <v>85</v>
      </c>
      <c r="AS230" s="5"/>
      <c r="AT230" s="5"/>
      <c r="AU230" s="5"/>
      <c r="AV230" s="5"/>
      <c r="AW230" s="8"/>
      <c r="AX230" t="s">
        <v>1135</v>
      </c>
      <c r="AY230" t="s">
        <v>2152</v>
      </c>
    </row>
    <row r="231" spans="1:51" x14ac:dyDescent="0.35">
      <c r="A231" s="4" t="s">
        <v>772</v>
      </c>
      <c r="B231" s="5" t="s">
        <v>772</v>
      </c>
      <c r="C231" s="5" t="s">
        <v>879</v>
      </c>
      <c r="D231" s="5" t="s">
        <v>50</v>
      </c>
      <c r="E231" s="5" t="s">
        <v>51</v>
      </c>
      <c r="F231" s="5" t="s">
        <v>774</v>
      </c>
      <c r="G231" s="5" t="s">
        <v>53</v>
      </c>
      <c r="H231" s="5" t="s">
        <v>54</v>
      </c>
      <c r="I231" s="5" t="s">
        <v>915</v>
      </c>
      <c r="J231" s="5" t="s">
        <v>56</v>
      </c>
      <c r="K231" s="5" t="s">
        <v>57</v>
      </c>
      <c r="L231" s="5" t="s">
        <v>58</v>
      </c>
      <c r="M231" s="5" t="s">
        <v>59</v>
      </c>
      <c r="N231" s="5" t="s">
        <v>60</v>
      </c>
      <c r="O231" s="5" t="s">
        <v>60</v>
      </c>
      <c r="P231" s="5" t="s">
        <v>61</v>
      </c>
      <c r="Q231" s="5" t="s">
        <v>62</v>
      </c>
      <c r="R231" s="5" t="s">
        <v>63</v>
      </c>
      <c r="S231" s="5" t="s">
        <v>64</v>
      </c>
      <c r="T231" s="5" t="s">
        <v>65</v>
      </c>
      <c r="U231" s="5" t="s">
        <v>66</v>
      </c>
      <c r="V231" s="5" t="s">
        <v>916</v>
      </c>
      <c r="W231" s="5" t="s">
        <v>917</v>
      </c>
      <c r="X231" s="5" t="s">
        <v>356</v>
      </c>
      <c r="Y231" s="5" t="s">
        <v>918</v>
      </c>
      <c r="Z231" s="5" t="s">
        <v>71</v>
      </c>
      <c r="AA231" s="5" t="s">
        <v>72</v>
      </c>
      <c r="AB231" s="5" t="s">
        <v>73</v>
      </c>
      <c r="AC231" s="5" t="s">
        <v>74</v>
      </c>
      <c r="AD231" s="5" t="s">
        <v>75</v>
      </c>
      <c r="AE231" s="5" t="s">
        <v>76</v>
      </c>
      <c r="AF231" s="6">
        <v>35203.86</v>
      </c>
      <c r="AG231" s="7">
        <v>1</v>
      </c>
      <c r="AH231" s="6">
        <v>35203.86</v>
      </c>
      <c r="AI231" s="5" t="s">
        <v>598</v>
      </c>
      <c r="AJ231" s="10">
        <v>45939</v>
      </c>
      <c r="AK231" s="5" t="s">
        <v>919</v>
      </c>
      <c r="AL231" s="5" t="s">
        <v>79</v>
      </c>
      <c r="AM231" s="5">
        <v>1619409</v>
      </c>
      <c r="AN231" s="5" t="s">
        <v>80</v>
      </c>
      <c r="AO231" s="5">
        <v>1094010</v>
      </c>
      <c r="AP231" s="5" t="s">
        <v>81</v>
      </c>
      <c r="AQ231" s="5" t="s">
        <v>64</v>
      </c>
      <c r="AR231" s="5" t="s">
        <v>356</v>
      </c>
      <c r="AS231" s="5"/>
      <c r="AT231" s="5"/>
      <c r="AU231" s="5"/>
      <c r="AV231" s="5"/>
      <c r="AW231" s="8"/>
      <c r="AX231" t="s">
        <v>1135</v>
      </c>
      <c r="AY231" t="s">
        <v>2152</v>
      </c>
    </row>
    <row r="232" spans="1:51" x14ac:dyDescent="0.35">
      <c r="A232" s="4" t="s">
        <v>772</v>
      </c>
      <c r="B232" s="5" t="s">
        <v>772</v>
      </c>
      <c r="C232" s="5" t="s">
        <v>879</v>
      </c>
      <c r="D232" s="5" t="s">
        <v>50</v>
      </c>
      <c r="E232" s="5" t="s">
        <v>51</v>
      </c>
      <c r="F232" s="5" t="s">
        <v>774</v>
      </c>
      <c r="G232" s="5" t="s">
        <v>53</v>
      </c>
      <c r="H232" s="5" t="s">
        <v>54</v>
      </c>
      <c r="I232" s="5" t="s">
        <v>920</v>
      </c>
      <c r="J232" s="5" t="s">
        <v>56</v>
      </c>
      <c r="K232" s="5" t="s">
        <v>57</v>
      </c>
      <c r="L232" s="5" t="s">
        <v>58</v>
      </c>
      <c r="M232" s="5" t="s">
        <v>59</v>
      </c>
      <c r="N232" s="5" t="s">
        <v>60</v>
      </c>
      <c r="O232" s="5" t="s">
        <v>60</v>
      </c>
      <c r="P232" s="5" t="s">
        <v>61</v>
      </c>
      <c r="Q232" s="5" t="s">
        <v>62</v>
      </c>
      <c r="R232" s="5" t="s">
        <v>63</v>
      </c>
      <c r="S232" s="5" t="s">
        <v>64</v>
      </c>
      <c r="T232" s="5" t="s">
        <v>65</v>
      </c>
      <c r="U232" s="5" t="s">
        <v>66</v>
      </c>
      <c r="V232" s="5" t="s">
        <v>212</v>
      </c>
      <c r="W232" s="5" t="s">
        <v>580</v>
      </c>
      <c r="X232" s="5" t="s">
        <v>207</v>
      </c>
      <c r="Y232" s="5" t="s">
        <v>214</v>
      </c>
      <c r="Z232" s="5" t="s">
        <v>71</v>
      </c>
      <c r="AA232" s="5" t="s">
        <v>87</v>
      </c>
      <c r="AB232" s="5" t="s">
        <v>88</v>
      </c>
      <c r="AC232" s="5" t="s">
        <v>89</v>
      </c>
      <c r="AD232" s="5" t="s">
        <v>75</v>
      </c>
      <c r="AE232" s="5" t="s">
        <v>117</v>
      </c>
      <c r="AF232" s="6">
        <v>4326</v>
      </c>
      <c r="AG232" s="7">
        <v>1</v>
      </c>
      <c r="AH232" s="6">
        <v>4326</v>
      </c>
      <c r="AI232" s="5" t="s">
        <v>581</v>
      </c>
      <c r="AJ232" s="10">
        <v>45939</v>
      </c>
      <c r="AK232" s="5" t="s">
        <v>921</v>
      </c>
      <c r="AL232" s="5" t="s">
        <v>79</v>
      </c>
      <c r="AM232" s="5">
        <v>1619409</v>
      </c>
      <c r="AN232" s="5" t="s">
        <v>80</v>
      </c>
      <c r="AO232" s="5">
        <v>1094010</v>
      </c>
      <c r="AP232" s="5" t="s">
        <v>81</v>
      </c>
      <c r="AQ232" s="5" t="s">
        <v>64</v>
      </c>
      <c r="AR232" s="5" t="s">
        <v>207</v>
      </c>
      <c r="AS232" s="5"/>
      <c r="AT232" s="5"/>
      <c r="AU232" s="5"/>
      <c r="AV232" s="5"/>
      <c r="AW232" s="8"/>
      <c r="AX232" t="s">
        <v>1135</v>
      </c>
      <c r="AY232" t="s">
        <v>2152</v>
      </c>
    </row>
    <row r="233" spans="1:51" x14ac:dyDescent="0.35">
      <c r="A233" s="4" t="s">
        <v>772</v>
      </c>
      <c r="B233" s="5" t="s">
        <v>772</v>
      </c>
      <c r="C233" s="5" t="s">
        <v>879</v>
      </c>
      <c r="D233" s="5" t="s">
        <v>50</v>
      </c>
      <c r="E233" s="5" t="s">
        <v>51</v>
      </c>
      <c r="F233" s="5" t="s">
        <v>774</v>
      </c>
      <c r="G233" s="5" t="s">
        <v>53</v>
      </c>
      <c r="H233" s="5" t="s">
        <v>54</v>
      </c>
      <c r="I233" s="5" t="s">
        <v>920</v>
      </c>
      <c r="J233" s="5" t="s">
        <v>56</v>
      </c>
      <c r="K233" s="5" t="s">
        <v>57</v>
      </c>
      <c r="L233" s="5" t="s">
        <v>58</v>
      </c>
      <c r="M233" s="5" t="s">
        <v>59</v>
      </c>
      <c r="N233" s="5" t="s">
        <v>60</v>
      </c>
      <c r="O233" s="5" t="s">
        <v>60</v>
      </c>
      <c r="P233" s="5" t="s">
        <v>61</v>
      </c>
      <c r="Q233" s="5" t="s">
        <v>62</v>
      </c>
      <c r="R233" s="5" t="s">
        <v>63</v>
      </c>
      <c r="S233" s="5" t="s">
        <v>64</v>
      </c>
      <c r="T233" s="5" t="s">
        <v>65</v>
      </c>
      <c r="U233" s="5" t="s">
        <v>66</v>
      </c>
      <c r="V233" s="5" t="s">
        <v>333</v>
      </c>
      <c r="W233" s="5" t="s">
        <v>670</v>
      </c>
      <c r="X233" s="5" t="s">
        <v>85</v>
      </c>
      <c r="Y233" s="5" t="s">
        <v>335</v>
      </c>
      <c r="Z233" s="5" t="s">
        <v>71</v>
      </c>
      <c r="AA233" s="5" t="s">
        <v>72</v>
      </c>
      <c r="AB233" s="5" t="s">
        <v>73</v>
      </c>
      <c r="AC233" s="5" t="s">
        <v>74</v>
      </c>
      <c r="AD233" s="5" t="s">
        <v>75</v>
      </c>
      <c r="AE233" s="5" t="s">
        <v>336</v>
      </c>
      <c r="AF233" s="6">
        <v>35818.480000000003</v>
      </c>
      <c r="AG233" s="7">
        <v>1</v>
      </c>
      <c r="AH233" s="6">
        <v>35818.480000000003</v>
      </c>
      <c r="AI233" s="5" t="s">
        <v>794</v>
      </c>
      <c r="AJ233" s="10">
        <v>45939</v>
      </c>
      <c r="AK233" s="5" t="s">
        <v>921</v>
      </c>
      <c r="AL233" s="5" t="s">
        <v>79</v>
      </c>
      <c r="AM233" s="5">
        <v>1619409</v>
      </c>
      <c r="AN233" s="5" t="s">
        <v>80</v>
      </c>
      <c r="AO233" s="5">
        <v>1094010</v>
      </c>
      <c r="AP233" s="5" t="s">
        <v>81</v>
      </c>
      <c r="AQ233" s="5" t="s">
        <v>64</v>
      </c>
      <c r="AR233" s="5" t="s">
        <v>85</v>
      </c>
      <c r="AS233" s="5"/>
      <c r="AT233" s="5"/>
      <c r="AU233" s="5"/>
      <c r="AV233" s="5"/>
      <c r="AW233" s="8"/>
      <c r="AX233" t="s">
        <v>1135</v>
      </c>
      <c r="AY233" t="s">
        <v>2152</v>
      </c>
    </row>
    <row r="234" spans="1:51" x14ac:dyDescent="0.35">
      <c r="A234" s="4" t="s">
        <v>772</v>
      </c>
      <c r="B234" s="5" t="s">
        <v>772</v>
      </c>
      <c r="C234" s="5" t="s">
        <v>879</v>
      </c>
      <c r="D234" s="5" t="s">
        <v>50</v>
      </c>
      <c r="E234" s="5" t="s">
        <v>51</v>
      </c>
      <c r="F234" s="5" t="s">
        <v>774</v>
      </c>
      <c r="G234" s="5" t="s">
        <v>53</v>
      </c>
      <c r="H234" s="5" t="s">
        <v>54</v>
      </c>
      <c r="I234" s="5" t="s">
        <v>922</v>
      </c>
      <c r="J234" s="5" t="s">
        <v>56</v>
      </c>
      <c r="K234" s="5" t="s">
        <v>57</v>
      </c>
      <c r="L234" s="5" t="s">
        <v>58</v>
      </c>
      <c r="M234" s="5" t="s">
        <v>59</v>
      </c>
      <c r="N234" s="5" t="s">
        <v>60</v>
      </c>
      <c r="O234" s="5" t="s">
        <v>60</v>
      </c>
      <c r="P234" s="5" t="s">
        <v>61</v>
      </c>
      <c r="Q234" s="5" t="s">
        <v>62</v>
      </c>
      <c r="R234" s="5" t="s">
        <v>63</v>
      </c>
      <c r="S234" s="5" t="s">
        <v>64</v>
      </c>
      <c r="T234" s="5" t="s">
        <v>65</v>
      </c>
      <c r="U234" s="5" t="s">
        <v>66</v>
      </c>
      <c r="V234" s="5" t="s">
        <v>740</v>
      </c>
      <c r="W234" s="5" t="s">
        <v>741</v>
      </c>
      <c r="X234" s="5" t="s">
        <v>207</v>
      </c>
      <c r="Y234" s="5" t="s">
        <v>742</v>
      </c>
      <c r="Z234" s="5" t="s">
        <v>71</v>
      </c>
      <c r="AA234" s="5" t="s">
        <v>87</v>
      </c>
      <c r="AB234" s="5" t="s">
        <v>88</v>
      </c>
      <c r="AC234" s="5" t="s">
        <v>89</v>
      </c>
      <c r="AD234" s="5" t="s">
        <v>75</v>
      </c>
      <c r="AE234" s="5" t="s">
        <v>117</v>
      </c>
      <c r="AF234" s="6">
        <v>4326</v>
      </c>
      <c r="AG234" s="7">
        <v>1</v>
      </c>
      <c r="AH234" s="6">
        <v>4326</v>
      </c>
      <c r="AI234" s="5" t="s">
        <v>581</v>
      </c>
      <c r="AJ234" s="10">
        <v>45939</v>
      </c>
      <c r="AK234" s="5" t="s">
        <v>923</v>
      </c>
      <c r="AL234" s="5" t="s">
        <v>79</v>
      </c>
      <c r="AM234" s="5">
        <v>1619409</v>
      </c>
      <c r="AN234" s="5" t="s">
        <v>80</v>
      </c>
      <c r="AO234" s="5">
        <v>1094010</v>
      </c>
      <c r="AP234" s="5" t="s">
        <v>81</v>
      </c>
      <c r="AQ234" s="5" t="s">
        <v>64</v>
      </c>
      <c r="AR234" s="5" t="s">
        <v>207</v>
      </c>
      <c r="AS234" s="5"/>
      <c r="AT234" s="5"/>
      <c r="AU234" s="5"/>
      <c r="AV234" s="5"/>
      <c r="AW234" s="8"/>
      <c r="AX234" t="s">
        <v>1135</v>
      </c>
      <c r="AY234" t="s">
        <v>2152</v>
      </c>
    </row>
    <row r="235" spans="1:51" x14ac:dyDescent="0.35">
      <c r="A235" s="4" t="s">
        <v>772</v>
      </c>
      <c r="B235" s="5" t="s">
        <v>772</v>
      </c>
      <c r="C235" s="5" t="s">
        <v>879</v>
      </c>
      <c r="D235" s="5" t="s">
        <v>50</v>
      </c>
      <c r="E235" s="5" t="s">
        <v>51</v>
      </c>
      <c r="F235" s="5" t="s">
        <v>774</v>
      </c>
      <c r="G235" s="5" t="s">
        <v>53</v>
      </c>
      <c r="H235" s="5" t="s">
        <v>54</v>
      </c>
      <c r="I235" s="5" t="s">
        <v>924</v>
      </c>
      <c r="J235" s="5" t="s">
        <v>56</v>
      </c>
      <c r="K235" s="5" t="s">
        <v>57</v>
      </c>
      <c r="L235" s="5" t="s">
        <v>58</v>
      </c>
      <c r="M235" s="5" t="s">
        <v>59</v>
      </c>
      <c r="N235" s="5" t="s">
        <v>60</v>
      </c>
      <c r="O235" s="5" t="s">
        <v>60</v>
      </c>
      <c r="P235" s="5" t="s">
        <v>61</v>
      </c>
      <c r="Q235" s="5" t="s">
        <v>62</v>
      </c>
      <c r="R235" s="5" t="s">
        <v>63</v>
      </c>
      <c r="S235" s="5" t="s">
        <v>64</v>
      </c>
      <c r="T235" s="5" t="s">
        <v>65</v>
      </c>
      <c r="U235" s="5" t="s">
        <v>66</v>
      </c>
      <c r="V235" s="5" t="s">
        <v>896</v>
      </c>
      <c r="W235" s="5" t="s">
        <v>925</v>
      </c>
      <c r="X235" s="5" t="s">
        <v>69</v>
      </c>
      <c r="Y235" s="5" t="s">
        <v>898</v>
      </c>
      <c r="Z235" s="5" t="s">
        <v>71</v>
      </c>
      <c r="AA235" s="5" t="s">
        <v>87</v>
      </c>
      <c r="AB235" s="5" t="s">
        <v>88</v>
      </c>
      <c r="AC235" s="5" t="s">
        <v>89</v>
      </c>
      <c r="AD235" s="5" t="s">
        <v>75</v>
      </c>
      <c r="AE235" s="5" t="s">
        <v>243</v>
      </c>
      <c r="AF235" s="6">
        <v>4326</v>
      </c>
      <c r="AG235" s="7">
        <v>1</v>
      </c>
      <c r="AH235" s="6">
        <v>4326</v>
      </c>
      <c r="AI235" s="5" t="s">
        <v>926</v>
      </c>
      <c r="AJ235" s="10">
        <v>45939</v>
      </c>
      <c r="AK235" s="5" t="s">
        <v>927</v>
      </c>
      <c r="AL235" s="5" t="s">
        <v>79</v>
      </c>
      <c r="AM235" s="5">
        <v>1619409</v>
      </c>
      <c r="AN235" s="5" t="s">
        <v>80</v>
      </c>
      <c r="AO235" s="5">
        <v>1094010</v>
      </c>
      <c r="AP235" s="5" t="s">
        <v>81</v>
      </c>
      <c r="AQ235" s="5" t="s">
        <v>64</v>
      </c>
      <c r="AR235" s="5" t="s">
        <v>69</v>
      </c>
      <c r="AS235" s="5"/>
      <c r="AT235" s="5"/>
      <c r="AU235" s="5"/>
      <c r="AV235" s="5"/>
      <c r="AW235" s="8"/>
      <c r="AX235" t="s">
        <v>1135</v>
      </c>
      <c r="AY235" t="s">
        <v>2152</v>
      </c>
    </row>
    <row r="236" spans="1:51" x14ac:dyDescent="0.35">
      <c r="A236" s="4" t="s">
        <v>772</v>
      </c>
      <c r="B236" s="5" t="s">
        <v>772</v>
      </c>
      <c r="C236" s="5" t="s">
        <v>879</v>
      </c>
      <c r="D236" s="5" t="s">
        <v>50</v>
      </c>
      <c r="E236" s="5" t="s">
        <v>51</v>
      </c>
      <c r="F236" s="5" t="s">
        <v>774</v>
      </c>
      <c r="G236" s="5" t="s">
        <v>53</v>
      </c>
      <c r="H236" s="5" t="s">
        <v>54</v>
      </c>
      <c r="I236" s="5" t="s">
        <v>924</v>
      </c>
      <c r="J236" s="5" t="s">
        <v>56</v>
      </c>
      <c r="K236" s="5" t="s">
        <v>57</v>
      </c>
      <c r="L236" s="5" t="s">
        <v>58</v>
      </c>
      <c r="M236" s="5" t="s">
        <v>59</v>
      </c>
      <c r="N236" s="5" t="s">
        <v>60</v>
      </c>
      <c r="O236" s="5" t="s">
        <v>60</v>
      </c>
      <c r="P236" s="5" t="s">
        <v>61</v>
      </c>
      <c r="Q236" s="5" t="s">
        <v>62</v>
      </c>
      <c r="R236" s="5" t="s">
        <v>63</v>
      </c>
      <c r="S236" s="5" t="s">
        <v>64</v>
      </c>
      <c r="T236" s="5" t="s">
        <v>65</v>
      </c>
      <c r="U236" s="5" t="s">
        <v>66</v>
      </c>
      <c r="V236" s="5" t="s">
        <v>472</v>
      </c>
      <c r="W236" s="5" t="s">
        <v>496</v>
      </c>
      <c r="X236" s="5" t="s">
        <v>207</v>
      </c>
      <c r="Y236" s="5" t="s">
        <v>474</v>
      </c>
      <c r="Z236" s="5" t="s">
        <v>71</v>
      </c>
      <c r="AA236" s="5" t="s">
        <v>87</v>
      </c>
      <c r="AB236" s="5" t="s">
        <v>88</v>
      </c>
      <c r="AC236" s="5" t="s">
        <v>89</v>
      </c>
      <c r="AD236" s="5" t="s">
        <v>75</v>
      </c>
      <c r="AE236" s="5" t="s">
        <v>124</v>
      </c>
      <c r="AF236" s="6">
        <v>4326</v>
      </c>
      <c r="AG236" s="7">
        <v>1</v>
      </c>
      <c r="AH236" s="6">
        <v>4326</v>
      </c>
      <c r="AI236" s="5" t="s">
        <v>581</v>
      </c>
      <c r="AJ236" s="10">
        <v>45939</v>
      </c>
      <c r="AK236" s="5" t="s">
        <v>927</v>
      </c>
      <c r="AL236" s="5" t="s">
        <v>79</v>
      </c>
      <c r="AM236" s="5">
        <v>1619409</v>
      </c>
      <c r="AN236" s="5" t="s">
        <v>80</v>
      </c>
      <c r="AO236" s="5">
        <v>1094010</v>
      </c>
      <c r="AP236" s="5" t="s">
        <v>81</v>
      </c>
      <c r="AQ236" s="5" t="s">
        <v>64</v>
      </c>
      <c r="AR236" s="5" t="s">
        <v>207</v>
      </c>
      <c r="AS236" s="5"/>
      <c r="AT236" s="5"/>
      <c r="AU236" s="5"/>
      <c r="AV236" s="5"/>
      <c r="AW236" s="8"/>
      <c r="AX236" t="s">
        <v>1135</v>
      </c>
      <c r="AY236" t="s">
        <v>2152</v>
      </c>
    </row>
    <row r="237" spans="1:51" x14ac:dyDescent="0.35">
      <c r="A237" s="4" t="s">
        <v>772</v>
      </c>
      <c r="B237" s="5" t="s">
        <v>772</v>
      </c>
      <c r="C237" s="5" t="s">
        <v>928</v>
      </c>
      <c r="D237" s="5" t="s">
        <v>50</v>
      </c>
      <c r="E237" s="5" t="s">
        <v>51</v>
      </c>
      <c r="F237" s="5" t="s">
        <v>774</v>
      </c>
      <c r="G237" s="5" t="s">
        <v>53</v>
      </c>
      <c r="H237" s="5" t="s">
        <v>54</v>
      </c>
      <c r="I237" s="5" t="s">
        <v>929</v>
      </c>
      <c r="J237" s="5" t="s">
        <v>56</v>
      </c>
      <c r="K237" s="5" t="s">
        <v>57</v>
      </c>
      <c r="L237" s="5" t="s">
        <v>58</v>
      </c>
      <c r="M237" s="5" t="s">
        <v>59</v>
      </c>
      <c r="N237" s="5" t="s">
        <v>60</v>
      </c>
      <c r="O237" s="5" t="s">
        <v>60</v>
      </c>
      <c r="P237" s="5" t="s">
        <v>61</v>
      </c>
      <c r="Q237" s="5" t="s">
        <v>62</v>
      </c>
      <c r="R237" s="5" t="s">
        <v>63</v>
      </c>
      <c r="S237" s="5" t="s">
        <v>64</v>
      </c>
      <c r="T237" s="5" t="s">
        <v>65</v>
      </c>
      <c r="U237" s="5" t="s">
        <v>66</v>
      </c>
      <c r="V237" s="5" t="s">
        <v>798</v>
      </c>
      <c r="W237" s="5" t="s">
        <v>930</v>
      </c>
      <c r="X237" s="5" t="s">
        <v>207</v>
      </c>
      <c r="Y237" s="5" t="s">
        <v>800</v>
      </c>
      <c r="Z237" s="5" t="s">
        <v>71</v>
      </c>
      <c r="AA237" s="5" t="s">
        <v>87</v>
      </c>
      <c r="AB237" s="5" t="s">
        <v>88</v>
      </c>
      <c r="AC237" s="5" t="s">
        <v>89</v>
      </c>
      <c r="AD237" s="5" t="s">
        <v>75</v>
      </c>
      <c r="AE237" s="5" t="s">
        <v>124</v>
      </c>
      <c r="AF237" s="6">
        <v>4326</v>
      </c>
      <c r="AG237" s="7">
        <v>1</v>
      </c>
      <c r="AH237" s="6">
        <v>4326</v>
      </c>
      <c r="AI237" s="5" t="s">
        <v>154</v>
      </c>
      <c r="AJ237" s="10">
        <v>45941</v>
      </c>
      <c r="AK237" s="5" t="s">
        <v>931</v>
      </c>
      <c r="AL237" s="5" t="s">
        <v>79</v>
      </c>
      <c r="AM237" s="5">
        <v>1619409</v>
      </c>
      <c r="AN237" s="5" t="s">
        <v>80</v>
      </c>
      <c r="AO237" s="5">
        <v>1094010</v>
      </c>
      <c r="AP237" s="5" t="s">
        <v>81</v>
      </c>
      <c r="AQ237" s="5" t="s">
        <v>64</v>
      </c>
      <c r="AR237" s="5" t="s">
        <v>207</v>
      </c>
      <c r="AS237" s="5"/>
      <c r="AT237" s="5"/>
      <c r="AU237" s="5"/>
      <c r="AV237" s="5"/>
      <c r="AW237" s="8"/>
      <c r="AX237" t="s">
        <v>1135</v>
      </c>
      <c r="AY237" t="s">
        <v>2152</v>
      </c>
    </row>
    <row r="238" spans="1:51" x14ac:dyDescent="0.35">
      <c r="A238" s="4" t="s">
        <v>772</v>
      </c>
      <c r="B238" s="5" t="s">
        <v>772</v>
      </c>
      <c r="C238" s="5" t="s">
        <v>822</v>
      </c>
      <c r="D238" s="5" t="s">
        <v>50</v>
      </c>
      <c r="E238" s="5" t="s">
        <v>51</v>
      </c>
      <c r="F238" s="5" t="s">
        <v>932</v>
      </c>
      <c r="G238" s="5" t="s">
        <v>53</v>
      </c>
      <c r="H238" s="5" t="s">
        <v>54</v>
      </c>
      <c r="I238" s="5" t="s">
        <v>933</v>
      </c>
      <c r="J238" s="5" t="s">
        <v>56</v>
      </c>
      <c r="K238" s="5" t="s">
        <v>57</v>
      </c>
      <c r="L238" s="5" t="s">
        <v>58</v>
      </c>
      <c r="M238" s="5" t="s">
        <v>59</v>
      </c>
      <c r="N238" s="5" t="s">
        <v>60</v>
      </c>
      <c r="O238" s="5" t="s">
        <v>60</v>
      </c>
      <c r="P238" s="5" t="s">
        <v>61</v>
      </c>
      <c r="Q238" s="5" t="s">
        <v>62</v>
      </c>
      <c r="R238" s="5" t="s">
        <v>63</v>
      </c>
      <c r="S238" s="5" t="s">
        <v>64</v>
      </c>
      <c r="T238" s="5" t="s">
        <v>65</v>
      </c>
      <c r="U238" s="5" t="s">
        <v>66</v>
      </c>
      <c r="V238" s="5" t="s">
        <v>478</v>
      </c>
      <c r="W238" s="5" t="s">
        <v>479</v>
      </c>
      <c r="X238" s="5" t="s">
        <v>162</v>
      </c>
      <c r="Y238" s="5" t="s">
        <v>480</v>
      </c>
      <c r="Z238" s="5" t="s">
        <v>71</v>
      </c>
      <c r="AA238" s="5" t="s">
        <v>87</v>
      </c>
      <c r="AB238" s="5" t="s">
        <v>88</v>
      </c>
      <c r="AC238" s="5" t="s">
        <v>89</v>
      </c>
      <c r="AD238" s="5" t="s">
        <v>75</v>
      </c>
      <c r="AE238" s="5" t="s">
        <v>124</v>
      </c>
      <c r="AF238" s="6">
        <v>4326</v>
      </c>
      <c r="AG238" s="7">
        <v>1</v>
      </c>
      <c r="AH238" s="6">
        <v>4326</v>
      </c>
      <c r="AI238" s="5" t="s">
        <v>118</v>
      </c>
      <c r="AJ238" s="10">
        <v>45943</v>
      </c>
      <c r="AK238" s="5" t="s">
        <v>934</v>
      </c>
      <c r="AL238" s="5" t="s">
        <v>79</v>
      </c>
      <c r="AM238" s="5">
        <v>1619409</v>
      </c>
      <c r="AN238" s="5" t="s">
        <v>80</v>
      </c>
      <c r="AO238" s="5">
        <v>1094010</v>
      </c>
      <c r="AP238" s="5" t="s">
        <v>81</v>
      </c>
      <c r="AQ238" s="5" t="s">
        <v>64</v>
      </c>
      <c r="AR238" s="5" t="s">
        <v>162</v>
      </c>
      <c r="AS238" s="5"/>
      <c r="AT238" s="5"/>
      <c r="AU238" s="5"/>
      <c r="AV238" s="5"/>
      <c r="AW238" s="8"/>
      <c r="AX238" t="s">
        <v>1135</v>
      </c>
      <c r="AY238" t="s">
        <v>2152</v>
      </c>
    </row>
    <row r="239" spans="1:51" x14ac:dyDescent="0.35">
      <c r="A239" s="4" t="s">
        <v>772</v>
      </c>
      <c r="B239" s="5" t="s">
        <v>772</v>
      </c>
      <c r="C239" s="5" t="s">
        <v>822</v>
      </c>
      <c r="D239" s="5" t="s">
        <v>50</v>
      </c>
      <c r="E239" s="5" t="s">
        <v>51</v>
      </c>
      <c r="F239" s="5" t="s">
        <v>932</v>
      </c>
      <c r="G239" s="5" t="s">
        <v>53</v>
      </c>
      <c r="H239" s="5" t="s">
        <v>54</v>
      </c>
      <c r="I239" s="5" t="s">
        <v>935</v>
      </c>
      <c r="J239" s="5" t="s">
        <v>56</v>
      </c>
      <c r="K239" s="5" t="s">
        <v>57</v>
      </c>
      <c r="L239" s="5" t="s">
        <v>58</v>
      </c>
      <c r="M239" s="5" t="s">
        <v>59</v>
      </c>
      <c r="N239" s="5" t="s">
        <v>60</v>
      </c>
      <c r="O239" s="5" t="s">
        <v>60</v>
      </c>
      <c r="P239" s="5" t="s">
        <v>61</v>
      </c>
      <c r="Q239" s="5" t="s">
        <v>62</v>
      </c>
      <c r="R239" s="5" t="s">
        <v>63</v>
      </c>
      <c r="S239" s="5" t="s">
        <v>64</v>
      </c>
      <c r="T239" s="5" t="s">
        <v>65</v>
      </c>
      <c r="U239" s="5" t="s">
        <v>66</v>
      </c>
      <c r="V239" s="5" t="s">
        <v>216</v>
      </c>
      <c r="W239" s="5" t="s">
        <v>848</v>
      </c>
      <c r="X239" s="5" t="s">
        <v>218</v>
      </c>
      <c r="Y239" s="5" t="s">
        <v>219</v>
      </c>
      <c r="Z239" s="5" t="s">
        <v>71</v>
      </c>
      <c r="AA239" s="5" t="s">
        <v>87</v>
      </c>
      <c r="AB239" s="5" t="s">
        <v>88</v>
      </c>
      <c r="AC239" s="5" t="s">
        <v>89</v>
      </c>
      <c r="AD239" s="5" t="s">
        <v>75</v>
      </c>
      <c r="AE239" s="5" t="s">
        <v>124</v>
      </c>
      <c r="AF239" s="6">
        <v>4326</v>
      </c>
      <c r="AG239" s="7">
        <v>1</v>
      </c>
      <c r="AH239" s="6">
        <v>4326</v>
      </c>
      <c r="AI239" s="5" t="s">
        <v>581</v>
      </c>
      <c r="AJ239" s="10">
        <v>45943</v>
      </c>
      <c r="AK239" s="5" t="s">
        <v>936</v>
      </c>
      <c r="AL239" s="5" t="s">
        <v>79</v>
      </c>
      <c r="AM239" s="5">
        <v>1619409</v>
      </c>
      <c r="AN239" s="5" t="s">
        <v>80</v>
      </c>
      <c r="AO239" s="5">
        <v>1094010</v>
      </c>
      <c r="AP239" s="5" t="s">
        <v>81</v>
      </c>
      <c r="AQ239" s="5" t="s">
        <v>64</v>
      </c>
      <c r="AR239" s="5" t="s">
        <v>218</v>
      </c>
      <c r="AS239" s="5"/>
      <c r="AT239" s="5"/>
      <c r="AU239" s="5"/>
      <c r="AV239" s="5"/>
      <c r="AW239" s="8"/>
      <c r="AX239" t="s">
        <v>1135</v>
      </c>
      <c r="AY239" t="s">
        <v>2152</v>
      </c>
    </row>
    <row r="240" spans="1:51" x14ac:dyDescent="0.35">
      <c r="A240" s="4" t="s">
        <v>772</v>
      </c>
      <c r="B240" s="5" t="s">
        <v>772</v>
      </c>
      <c r="C240" s="5" t="s">
        <v>822</v>
      </c>
      <c r="D240" s="5" t="s">
        <v>50</v>
      </c>
      <c r="E240" s="5" t="s">
        <v>51</v>
      </c>
      <c r="F240" s="5" t="s">
        <v>932</v>
      </c>
      <c r="G240" s="5" t="s">
        <v>53</v>
      </c>
      <c r="H240" s="5" t="s">
        <v>54</v>
      </c>
      <c r="I240" s="5" t="s">
        <v>935</v>
      </c>
      <c r="J240" s="5" t="s">
        <v>56</v>
      </c>
      <c r="K240" s="5" t="s">
        <v>57</v>
      </c>
      <c r="L240" s="5" t="s">
        <v>58</v>
      </c>
      <c r="M240" s="5" t="s">
        <v>59</v>
      </c>
      <c r="N240" s="5" t="s">
        <v>60</v>
      </c>
      <c r="O240" s="5" t="s">
        <v>60</v>
      </c>
      <c r="P240" s="5" t="s">
        <v>61</v>
      </c>
      <c r="Q240" s="5" t="s">
        <v>62</v>
      </c>
      <c r="R240" s="5" t="s">
        <v>63</v>
      </c>
      <c r="S240" s="5" t="s">
        <v>64</v>
      </c>
      <c r="T240" s="5" t="s">
        <v>65</v>
      </c>
      <c r="U240" s="5" t="s">
        <v>66</v>
      </c>
      <c r="V240" s="5" t="s">
        <v>317</v>
      </c>
      <c r="W240" s="5" t="s">
        <v>318</v>
      </c>
      <c r="X240" s="5" t="s">
        <v>319</v>
      </c>
      <c r="Y240" s="5" t="s">
        <v>320</v>
      </c>
      <c r="Z240" s="5" t="s">
        <v>71</v>
      </c>
      <c r="AA240" s="5" t="s">
        <v>72</v>
      </c>
      <c r="AB240" s="5" t="s">
        <v>73</v>
      </c>
      <c r="AC240" s="5" t="s">
        <v>74</v>
      </c>
      <c r="AD240" s="5" t="s">
        <v>75</v>
      </c>
      <c r="AE240" s="5" t="s">
        <v>300</v>
      </c>
      <c r="AF240" s="6">
        <v>35203.86</v>
      </c>
      <c r="AG240" s="7">
        <v>1</v>
      </c>
      <c r="AH240" s="6">
        <v>35203.86</v>
      </c>
      <c r="AI240" s="5" t="s">
        <v>321</v>
      </c>
      <c r="AJ240" s="10">
        <v>45943</v>
      </c>
      <c r="AK240" s="5" t="s">
        <v>936</v>
      </c>
      <c r="AL240" s="5" t="s">
        <v>79</v>
      </c>
      <c r="AM240" s="5">
        <v>1619409</v>
      </c>
      <c r="AN240" s="5" t="s">
        <v>80</v>
      </c>
      <c r="AO240" s="5">
        <v>1094010</v>
      </c>
      <c r="AP240" s="5" t="s">
        <v>81</v>
      </c>
      <c r="AQ240" s="5" t="s">
        <v>64</v>
      </c>
      <c r="AR240" s="5" t="s">
        <v>319</v>
      </c>
      <c r="AS240" s="5"/>
      <c r="AT240" s="5"/>
      <c r="AU240" s="5"/>
      <c r="AV240" s="5"/>
      <c r="AW240" s="8"/>
      <c r="AX240" t="s">
        <v>1135</v>
      </c>
      <c r="AY240" t="s">
        <v>2152</v>
      </c>
    </row>
    <row r="241" spans="1:51" x14ac:dyDescent="0.35">
      <c r="A241" s="4" t="s">
        <v>772</v>
      </c>
      <c r="B241" s="5" t="s">
        <v>772</v>
      </c>
      <c r="C241" s="5" t="s">
        <v>937</v>
      </c>
      <c r="D241" s="5" t="s">
        <v>50</v>
      </c>
      <c r="E241" s="5" t="s">
        <v>51</v>
      </c>
      <c r="F241" s="5" t="s">
        <v>932</v>
      </c>
      <c r="G241" s="5" t="s">
        <v>53</v>
      </c>
      <c r="H241" s="5" t="s">
        <v>54</v>
      </c>
      <c r="I241" s="5" t="s">
        <v>938</v>
      </c>
      <c r="J241" s="5" t="s">
        <v>56</v>
      </c>
      <c r="K241" s="5" t="s">
        <v>57</v>
      </c>
      <c r="L241" s="5" t="s">
        <v>58</v>
      </c>
      <c r="M241" s="5" t="s">
        <v>59</v>
      </c>
      <c r="N241" s="5" t="s">
        <v>60</v>
      </c>
      <c r="O241" s="5" t="s">
        <v>60</v>
      </c>
      <c r="P241" s="5" t="s">
        <v>61</v>
      </c>
      <c r="Q241" s="5" t="s">
        <v>62</v>
      </c>
      <c r="R241" s="5" t="s">
        <v>63</v>
      </c>
      <c r="S241" s="5" t="s">
        <v>64</v>
      </c>
      <c r="T241" s="5" t="s">
        <v>65</v>
      </c>
      <c r="U241" s="5" t="s">
        <v>66</v>
      </c>
      <c r="V241" s="5" t="s">
        <v>798</v>
      </c>
      <c r="W241" s="5" t="s">
        <v>930</v>
      </c>
      <c r="X241" s="5" t="s">
        <v>207</v>
      </c>
      <c r="Y241" s="5" t="s">
        <v>800</v>
      </c>
      <c r="Z241" s="5" t="s">
        <v>71</v>
      </c>
      <c r="AA241" s="5" t="s">
        <v>87</v>
      </c>
      <c r="AB241" s="5" t="s">
        <v>88</v>
      </c>
      <c r="AC241" s="5" t="s">
        <v>89</v>
      </c>
      <c r="AD241" s="5" t="s">
        <v>75</v>
      </c>
      <c r="AE241" s="5" t="s">
        <v>124</v>
      </c>
      <c r="AF241" s="6">
        <v>4326</v>
      </c>
      <c r="AG241" s="7">
        <v>1</v>
      </c>
      <c r="AH241" s="6">
        <v>4326</v>
      </c>
      <c r="AI241" s="5" t="s">
        <v>154</v>
      </c>
      <c r="AJ241" s="10">
        <v>45944</v>
      </c>
      <c r="AK241" s="5" t="s">
        <v>939</v>
      </c>
      <c r="AL241" s="5" t="s">
        <v>79</v>
      </c>
      <c r="AM241" s="5">
        <v>1619409</v>
      </c>
      <c r="AN241" s="5" t="s">
        <v>80</v>
      </c>
      <c r="AO241" s="5">
        <v>1094010</v>
      </c>
      <c r="AP241" s="5" t="s">
        <v>81</v>
      </c>
      <c r="AQ241" s="5" t="s">
        <v>64</v>
      </c>
      <c r="AR241" s="5" t="s">
        <v>207</v>
      </c>
      <c r="AS241" s="5"/>
      <c r="AT241" s="5"/>
      <c r="AU241" s="5"/>
      <c r="AV241" s="5"/>
      <c r="AW241" s="8"/>
      <c r="AX241" t="s">
        <v>1135</v>
      </c>
      <c r="AY241" t="s">
        <v>2152</v>
      </c>
    </row>
    <row r="242" spans="1:51" x14ac:dyDescent="0.35">
      <c r="A242" s="4" t="s">
        <v>772</v>
      </c>
      <c r="B242" s="5" t="s">
        <v>772</v>
      </c>
      <c r="C242" s="5" t="s">
        <v>940</v>
      </c>
      <c r="D242" s="5" t="s">
        <v>50</v>
      </c>
      <c r="E242" s="5" t="s">
        <v>51</v>
      </c>
      <c r="F242" s="5" t="s">
        <v>932</v>
      </c>
      <c r="G242" s="5" t="s">
        <v>53</v>
      </c>
      <c r="H242" s="5" t="s">
        <v>54</v>
      </c>
      <c r="I242" s="5" t="s">
        <v>941</v>
      </c>
      <c r="J242" s="5" t="s">
        <v>56</v>
      </c>
      <c r="K242" s="5" t="s">
        <v>57</v>
      </c>
      <c r="L242" s="5" t="s">
        <v>58</v>
      </c>
      <c r="M242" s="5" t="s">
        <v>59</v>
      </c>
      <c r="N242" s="5" t="s">
        <v>60</v>
      </c>
      <c r="O242" s="5" t="s">
        <v>60</v>
      </c>
      <c r="P242" s="5" t="s">
        <v>61</v>
      </c>
      <c r="Q242" s="5" t="s">
        <v>62</v>
      </c>
      <c r="R242" s="5" t="s">
        <v>63</v>
      </c>
      <c r="S242" s="5" t="s">
        <v>64</v>
      </c>
      <c r="T242" s="5" t="s">
        <v>65</v>
      </c>
      <c r="U242" s="5" t="s">
        <v>66</v>
      </c>
      <c r="V242" s="5" t="s">
        <v>166</v>
      </c>
      <c r="W242" s="5" t="s">
        <v>893</v>
      </c>
      <c r="X242" s="5" t="s">
        <v>894</v>
      </c>
      <c r="Y242" s="5" t="s">
        <v>169</v>
      </c>
      <c r="Z242" s="5" t="s">
        <v>71</v>
      </c>
      <c r="AA242" s="5" t="s">
        <v>87</v>
      </c>
      <c r="AB242" s="5" t="s">
        <v>104</v>
      </c>
      <c r="AC242" s="5" t="s">
        <v>105</v>
      </c>
      <c r="AD242" s="5" t="s">
        <v>75</v>
      </c>
      <c r="AE242" s="5" t="s">
        <v>170</v>
      </c>
      <c r="AF242" s="6">
        <v>2920</v>
      </c>
      <c r="AG242" s="7">
        <v>1</v>
      </c>
      <c r="AH242" s="6">
        <v>2920</v>
      </c>
      <c r="AI242" s="5" t="s">
        <v>777</v>
      </c>
      <c r="AJ242" s="10">
        <v>45945</v>
      </c>
      <c r="AK242" s="5" t="s">
        <v>942</v>
      </c>
      <c r="AL242" s="5" t="s">
        <v>79</v>
      </c>
      <c r="AM242" s="5">
        <v>1619409</v>
      </c>
      <c r="AN242" s="5" t="s">
        <v>80</v>
      </c>
      <c r="AO242" s="5">
        <v>1094010</v>
      </c>
      <c r="AP242" s="5" t="s">
        <v>81</v>
      </c>
      <c r="AQ242" s="5" t="s">
        <v>64</v>
      </c>
      <c r="AR242" s="5" t="s">
        <v>894</v>
      </c>
      <c r="AS242" s="5"/>
      <c r="AT242" s="5"/>
      <c r="AU242" s="5"/>
      <c r="AV242" s="5"/>
      <c r="AW242" s="8"/>
      <c r="AX242" t="s">
        <v>1135</v>
      </c>
      <c r="AY242" t="s">
        <v>2152</v>
      </c>
    </row>
    <row r="243" spans="1:51" x14ac:dyDescent="0.35">
      <c r="A243" s="4" t="s">
        <v>772</v>
      </c>
      <c r="B243" s="5" t="s">
        <v>772</v>
      </c>
      <c r="C243" s="5" t="s">
        <v>940</v>
      </c>
      <c r="D243" s="5" t="s">
        <v>50</v>
      </c>
      <c r="E243" s="5" t="s">
        <v>51</v>
      </c>
      <c r="F243" s="5" t="s">
        <v>932</v>
      </c>
      <c r="G243" s="5" t="s">
        <v>53</v>
      </c>
      <c r="H243" s="5" t="s">
        <v>54</v>
      </c>
      <c r="I243" s="5" t="s">
        <v>941</v>
      </c>
      <c r="J243" s="5" t="s">
        <v>56</v>
      </c>
      <c r="K243" s="5" t="s">
        <v>57</v>
      </c>
      <c r="L243" s="5" t="s">
        <v>58</v>
      </c>
      <c r="M243" s="5" t="s">
        <v>59</v>
      </c>
      <c r="N243" s="5" t="s">
        <v>60</v>
      </c>
      <c r="O243" s="5" t="s">
        <v>60</v>
      </c>
      <c r="P243" s="5" t="s">
        <v>61</v>
      </c>
      <c r="Q243" s="5" t="s">
        <v>62</v>
      </c>
      <c r="R243" s="5" t="s">
        <v>63</v>
      </c>
      <c r="S243" s="5" t="s">
        <v>64</v>
      </c>
      <c r="T243" s="5" t="s">
        <v>65</v>
      </c>
      <c r="U243" s="5" t="s">
        <v>66</v>
      </c>
      <c r="V243" s="5" t="s">
        <v>943</v>
      </c>
      <c r="W243" s="5" t="s">
        <v>944</v>
      </c>
      <c r="X243" s="5" t="s">
        <v>207</v>
      </c>
      <c r="Y243" s="5" t="s">
        <v>945</v>
      </c>
      <c r="Z243" s="5" t="s">
        <v>71</v>
      </c>
      <c r="AA243" s="5" t="s">
        <v>87</v>
      </c>
      <c r="AB243" s="5" t="s">
        <v>88</v>
      </c>
      <c r="AC243" s="5" t="s">
        <v>89</v>
      </c>
      <c r="AD243" s="5" t="s">
        <v>75</v>
      </c>
      <c r="AE243" s="5" t="s">
        <v>117</v>
      </c>
      <c r="AF243" s="6">
        <v>4326</v>
      </c>
      <c r="AG243" s="7">
        <v>1</v>
      </c>
      <c r="AH243" s="6">
        <v>4326</v>
      </c>
      <c r="AI243" s="5" t="s">
        <v>118</v>
      </c>
      <c r="AJ243" s="10">
        <v>45945</v>
      </c>
      <c r="AK243" s="5" t="s">
        <v>942</v>
      </c>
      <c r="AL243" s="5" t="s">
        <v>79</v>
      </c>
      <c r="AM243" s="5">
        <v>1619409</v>
      </c>
      <c r="AN243" s="5" t="s">
        <v>80</v>
      </c>
      <c r="AO243" s="5">
        <v>1094010</v>
      </c>
      <c r="AP243" s="5" t="s">
        <v>81</v>
      </c>
      <c r="AQ243" s="5" t="s">
        <v>64</v>
      </c>
      <c r="AR243" s="5" t="s">
        <v>207</v>
      </c>
      <c r="AS243" s="5"/>
      <c r="AT243" s="5"/>
      <c r="AU243" s="5"/>
      <c r="AV243" s="5"/>
      <c r="AW243" s="8"/>
      <c r="AX243" t="s">
        <v>1135</v>
      </c>
      <c r="AY243" t="s">
        <v>2152</v>
      </c>
    </row>
    <row r="244" spans="1:51" x14ac:dyDescent="0.35">
      <c r="A244" s="4" t="s">
        <v>772</v>
      </c>
      <c r="B244" s="5" t="s">
        <v>772</v>
      </c>
      <c r="C244" s="5" t="s">
        <v>940</v>
      </c>
      <c r="D244" s="5" t="s">
        <v>50</v>
      </c>
      <c r="E244" s="5" t="s">
        <v>51</v>
      </c>
      <c r="F244" s="5" t="s">
        <v>932</v>
      </c>
      <c r="G244" s="5" t="s">
        <v>53</v>
      </c>
      <c r="H244" s="5" t="s">
        <v>54</v>
      </c>
      <c r="I244" s="5" t="s">
        <v>941</v>
      </c>
      <c r="J244" s="5" t="s">
        <v>56</v>
      </c>
      <c r="K244" s="5" t="s">
        <v>57</v>
      </c>
      <c r="L244" s="5" t="s">
        <v>58</v>
      </c>
      <c r="M244" s="5" t="s">
        <v>59</v>
      </c>
      <c r="N244" s="5" t="s">
        <v>60</v>
      </c>
      <c r="O244" s="5" t="s">
        <v>60</v>
      </c>
      <c r="P244" s="5" t="s">
        <v>61</v>
      </c>
      <c r="Q244" s="5" t="s">
        <v>62</v>
      </c>
      <c r="R244" s="5" t="s">
        <v>63</v>
      </c>
      <c r="S244" s="5" t="s">
        <v>64</v>
      </c>
      <c r="T244" s="5" t="s">
        <v>65</v>
      </c>
      <c r="U244" s="5" t="s">
        <v>66</v>
      </c>
      <c r="V244" s="5" t="s">
        <v>297</v>
      </c>
      <c r="W244" s="5" t="s">
        <v>946</v>
      </c>
      <c r="X244" s="5" t="s">
        <v>69</v>
      </c>
      <c r="Y244" s="5" t="s">
        <v>299</v>
      </c>
      <c r="Z244" s="5" t="s">
        <v>71</v>
      </c>
      <c r="AA244" s="5" t="s">
        <v>72</v>
      </c>
      <c r="AB244" s="5" t="s">
        <v>73</v>
      </c>
      <c r="AC244" s="5" t="s">
        <v>74</v>
      </c>
      <c r="AD244" s="5" t="s">
        <v>75</v>
      </c>
      <c r="AE244" s="5" t="s">
        <v>300</v>
      </c>
      <c r="AF244" s="6">
        <v>35818.480000000003</v>
      </c>
      <c r="AG244" s="7">
        <v>1</v>
      </c>
      <c r="AH244" s="6">
        <v>35818.480000000003</v>
      </c>
      <c r="AI244" s="5" t="s">
        <v>723</v>
      </c>
      <c r="AJ244" s="10">
        <v>45945</v>
      </c>
      <c r="AK244" s="5" t="s">
        <v>942</v>
      </c>
      <c r="AL244" s="5" t="s">
        <v>79</v>
      </c>
      <c r="AM244" s="5">
        <v>1619409</v>
      </c>
      <c r="AN244" s="5" t="s">
        <v>80</v>
      </c>
      <c r="AO244" s="5">
        <v>1094010</v>
      </c>
      <c r="AP244" s="5" t="s">
        <v>81</v>
      </c>
      <c r="AQ244" s="5" t="s">
        <v>64</v>
      </c>
      <c r="AR244" s="5" t="s">
        <v>69</v>
      </c>
      <c r="AS244" s="5"/>
      <c r="AT244" s="5"/>
      <c r="AU244" s="5"/>
      <c r="AV244" s="5"/>
      <c r="AW244" s="8"/>
      <c r="AX244" t="s">
        <v>1135</v>
      </c>
      <c r="AY244" t="s">
        <v>2152</v>
      </c>
    </row>
    <row r="245" spans="1:51" x14ac:dyDescent="0.35">
      <c r="A245" s="4" t="s">
        <v>772</v>
      </c>
      <c r="B245" s="5" t="s">
        <v>772</v>
      </c>
      <c r="C245" s="5" t="s">
        <v>940</v>
      </c>
      <c r="D245" s="5" t="s">
        <v>50</v>
      </c>
      <c r="E245" s="5" t="s">
        <v>51</v>
      </c>
      <c r="F245" s="5" t="s">
        <v>932</v>
      </c>
      <c r="G245" s="5" t="s">
        <v>53</v>
      </c>
      <c r="H245" s="5" t="s">
        <v>54</v>
      </c>
      <c r="I245" s="5" t="s">
        <v>947</v>
      </c>
      <c r="J245" s="5" t="s">
        <v>56</v>
      </c>
      <c r="K245" s="5" t="s">
        <v>57</v>
      </c>
      <c r="L245" s="5" t="s">
        <v>58</v>
      </c>
      <c r="M245" s="5" t="s">
        <v>59</v>
      </c>
      <c r="N245" s="5" t="s">
        <v>60</v>
      </c>
      <c r="O245" s="5" t="s">
        <v>60</v>
      </c>
      <c r="P245" s="5" t="s">
        <v>61</v>
      </c>
      <c r="Q245" s="5" t="s">
        <v>62</v>
      </c>
      <c r="R245" s="5" t="s">
        <v>63</v>
      </c>
      <c r="S245" s="5" t="s">
        <v>64</v>
      </c>
      <c r="T245" s="5" t="s">
        <v>65</v>
      </c>
      <c r="U245" s="5" t="s">
        <v>66</v>
      </c>
      <c r="V245" s="5" t="s">
        <v>260</v>
      </c>
      <c r="W245" s="5" t="s">
        <v>948</v>
      </c>
      <c r="X245" s="5" t="s">
        <v>350</v>
      </c>
      <c r="Y245" s="5" t="s">
        <v>262</v>
      </c>
      <c r="Z245" s="5" t="s">
        <v>71</v>
      </c>
      <c r="AA245" s="5" t="s">
        <v>87</v>
      </c>
      <c r="AB245" s="5" t="s">
        <v>104</v>
      </c>
      <c r="AC245" s="5" t="s">
        <v>105</v>
      </c>
      <c r="AD245" s="5" t="s">
        <v>75</v>
      </c>
      <c r="AE245" s="5" t="s">
        <v>263</v>
      </c>
      <c r="AF245" s="6">
        <v>2920</v>
      </c>
      <c r="AG245" s="7">
        <v>1</v>
      </c>
      <c r="AH245" s="6">
        <v>2920</v>
      </c>
      <c r="AI245" s="5" t="s">
        <v>777</v>
      </c>
      <c r="AJ245" s="10">
        <v>45945</v>
      </c>
      <c r="AK245" s="5" t="s">
        <v>949</v>
      </c>
      <c r="AL245" s="5" t="s">
        <v>79</v>
      </c>
      <c r="AM245" s="5">
        <v>1619409</v>
      </c>
      <c r="AN245" s="5" t="s">
        <v>80</v>
      </c>
      <c r="AO245" s="5">
        <v>1094010</v>
      </c>
      <c r="AP245" s="5" t="s">
        <v>81</v>
      </c>
      <c r="AQ245" s="5" t="s">
        <v>64</v>
      </c>
      <c r="AR245" s="5" t="s">
        <v>350</v>
      </c>
      <c r="AS245" s="5"/>
      <c r="AT245" s="5"/>
      <c r="AU245" s="5"/>
      <c r="AV245" s="5"/>
      <c r="AW245" s="8"/>
      <c r="AX245" t="s">
        <v>1135</v>
      </c>
      <c r="AY245" t="s">
        <v>2152</v>
      </c>
    </row>
    <row r="246" spans="1:51" x14ac:dyDescent="0.35">
      <c r="A246" s="4" t="s">
        <v>772</v>
      </c>
      <c r="B246" s="5" t="s">
        <v>772</v>
      </c>
      <c r="C246" s="5" t="s">
        <v>940</v>
      </c>
      <c r="D246" s="5" t="s">
        <v>50</v>
      </c>
      <c r="E246" s="5" t="s">
        <v>51</v>
      </c>
      <c r="F246" s="5" t="s">
        <v>932</v>
      </c>
      <c r="G246" s="5" t="s">
        <v>53</v>
      </c>
      <c r="H246" s="5" t="s">
        <v>54</v>
      </c>
      <c r="I246" s="5" t="s">
        <v>947</v>
      </c>
      <c r="J246" s="5" t="s">
        <v>56</v>
      </c>
      <c r="K246" s="5" t="s">
        <v>57</v>
      </c>
      <c r="L246" s="5" t="s">
        <v>58</v>
      </c>
      <c r="M246" s="5" t="s">
        <v>59</v>
      </c>
      <c r="N246" s="5" t="s">
        <v>60</v>
      </c>
      <c r="O246" s="5" t="s">
        <v>60</v>
      </c>
      <c r="P246" s="5" t="s">
        <v>61</v>
      </c>
      <c r="Q246" s="5" t="s">
        <v>62</v>
      </c>
      <c r="R246" s="5" t="s">
        <v>63</v>
      </c>
      <c r="S246" s="5" t="s">
        <v>64</v>
      </c>
      <c r="T246" s="5" t="s">
        <v>65</v>
      </c>
      <c r="U246" s="5" t="s">
        <v>66</v>
      </c>
      <c r="V246" s="5" t="s">
        <v>498</v>
      </c>
      <c r="W246" s="5" t="s">
        <v>499</v>
      </c>
      <c r="X246" s="5" t="s">
        <v>207</v>
      </c>
      <c r="Y246" s="5" t="s">
        <v>500</v>
      </c>
      <c r="Z246" s="5" t="s">
        <v>71</v>
      </c>
      <c r="AA246" s="5" t="s">
        <v>87</v>
      </c>
      <c r="AB246" s="5" t="s">
        <v>88</v>
      </c>
      <c r="AC246" s="5" t="s">
        <v>89</v>
      </c>
      <c r="AD246" s="5" t="s">
        <v>75</v>
      </c>
      <c r="AE246" s="5" t="s">
        <v>124</v>
      </c>
      <c r="AF246" s="6">
        <v>4326</v>
      </c>
      <c r="AG246" s="7">
        <v>1</v>
      </c>
      <c r="AH246" s="6">
        <v>4326</v>
      </c>
      <c r="AI246" s="5" t="s">
        <v>98</v>
      </c>
      <c r="AJ246" s="10">
        <v>45945</v>
      </c>
      <c r="AK246" s="5" t="s">
        <v>949</v>
      </c>
      <c r="AL246" s="5" t="s">
        <v>79</v>
      </c>
      <c r="AM246" s="5">
        <v>1619409</v>
      </c>
      <c r="AN246" s="5" t="s">
        <v>80</v>
      </c>
      <c r="AO246" s="5">
        <v>1094010</v>
      </c>
      <c r="AP246" s="5" t="s">
        <v>81</v>
      </c>
      <c r="AQ246" s="5" t="s">
        <v>64</v>
      </c>
      <c r="AR246" s="5" t="s">
        <v>207</v>
      </c>
      <c r="AS246" s="5"/>
      <c r="AT246" s="5"/>
      <c r="AU246" s="5"/>
      <c r="AV246" s="5"/>
      <c r="AW246" s="8"/>
      <c r="AX246" t="s">
        <v>1135</v>
      </c>
      <c r="AY246" t="s">
        <v>2152</v>
      </c>
    </row>
    <row r="247" spans="1:51" x14ac:dyDescent="0.35">
      <c r="A247" s="4" t="s">
        <v>772</v>
      </c>
      <c r="B247" s="5" t="s">
        <v>772</v>
      </c>
      <c r="C247" s="5" t="s">
        <v>940</v>
      </c>
      <c r="D247" s="5" t="s">
        <v>50</v>
      </c>
      <c r="E247" s="5" t="s">
        <v>51</v>
      </c>
      <c r="F247" s="5" t="s">
        <v>932</v>
      </c>
      <c r="G247" s="5" t="s">
        <v>53</v>
      </c>
      <c r="H247" s="5" t="s">
        <v>54</v>
      </c>
      <c r="I247" s="5" t="s">
        <v>950</v>
      </c>
      <c r="J247" s="5" t="s">
        <v>56</v>
      </c>
      <c r="K247" s="5" t="s">
        <v>57</v>
      </c>
      <c r="L247" s="5" t="s">
        <v>58</v>
      </c>
      <c r="M247" s="5" t="s">
        <v>59</v>
      </c>
      <c r="N247" s="5" t="s">
        <v>60</v>
      </c>
      <c r="O247" s="5" t="s">
        <v>60</v>
      </c>
      <c r="P247" s="5" t="s">
        <v>61</v>
      </c>
      <c r="Q247" s="5" t="s">
        <v>62</v>
      </c>
      <c r="R247" s="5" t="s">
        <v>63</v>
      </c>
      <c r="S247" s="5" t="s">
        <v>64</v>
      </c>
      <c r="T247" s="5" t="s">
        <v>65</v>
      </c>
      <c r="U247" s="5" t="s">
        <v>66</v>
      </c>
      <c r="V247" s="5" t="s">
        <v>951</v>
      </c>
      <c r="W247" s="5" t="s">
        <v>952</v>
      </c>
      <c r="X247" s="5" t="s">
        <v>129</v>
      </c>
      <c r="Y247" s="5" t="s">
        <v>953</v>
      </c>
      <c r="Z247" s="5" t="s">
        <v>71</v>
      </c>
      <c r="AA247" s="5" t="s">
        <v>249</v>
      </c>
      <c r="AB247" s="5" t="s">
        <v>250</v>
      </c>
      <c r="AC247" s="5" t="s">
        <v>251</v>
      </c>
      <c r="AD247" s="5" t="s">
        <v>75</v>
      </c>
      <c r="AE247" s="5" t="s">
        <v>252</v>
      </c>
      <c r="AF247" s="6">
        <v>30900</v>
      </c>
      <c r="AG247" s="7">
        <v>1</v>
      </c>
      <c r="AH247" s="6">
        <v>30900</v>
      </c>
      <c r="AI247" s="5" t="s">
        <v>954</v>
      </c>
      <c r="AJ247" s="10">
        <v>45945</v>
      </c>
      <c r="AK247" s="5" t="s">
        <v>955</v>
      </c>
      <c r="AL247" s="5" t="s">
        <v>79</v>
      </c>
      <c r="AM247" s="5">
        <v>1619409</v>
      </c>
      <c r="AN247" s="5" t="s">
        <v>80</v>
      </c>
      <c r="AO247" s="5">
        <v>1094010</v>
      </c>
      <c r="AP247" s="5" t="s">
        <v>81</v>
      </c>
      <c r="AQ247" s="5" t="s">
        <v>64</v>
      </c>
      <c r="AR247" s="5" t="s">
        <v>129</v>
      </c>
      <c r="AS247" s="5"/>
      <c r="AT247" s="5"/>
      <c r="AU247" s="5"/>
      <c r="AV247" s="5"/>
      <c r="AW247" s="8"/>
      <c r="AX247" t="s">
        <v>1135</v>
      </c>
      <c r="AY247" t="s">
        <v>2152</v>
      </c>
    </row>
    <row r="248" spans="1:51" x14ac:dyDescent="0.35">
      <c r="A248" s="4" t="s">
        <v>772</v>
      </c>
      <c r="B248" s="5" t="s">
        <v>772</v>
      </c>
      <c r="C248" s="5" t="s">
        <v>940</v>
      </c>
      <c r="D248" s="5" t="s">
        <v>50</v>
      </c>
      <c r="E248" s="5" t="s">
        <v>51</v>
      </c>
      <c r="F248" s="5" t="s">
        <v>932</v>
      </c>
      <c r="G248" s="5" t="s">
        <v>53</v>
      </c>
      <c r="H248" s="5" t="s">
        <v>54</v>
      </c>
      <c r="I248" s="5" t="s">
        <v>950</v>
      </c>
      <c r="J248" s="5" t="s">
        <v>56</v>
      </c>
      <c r="K248" s="5" t="s">
        <v>57</v>
      </c>
      <c r="L248" s="5" t="s">
        <v>58</v>
      </c>
      <c r="M248" s="5" t="s">
        <v>59</v>
      </c>
      <c r="N248" s="5" t="s">
        <v>60</v>
      </c>
      <c r="O248" s="5" t="s">
        <v>60</v>
      </c>
      <c r="P248" s="5" t="s">
        <v>61</v>
      </c>
      <c r="Q248" s="5" t="s">
        <v>62</v>
      </c>
      <c r="R248" s="5" t="s">
        <v>63</v>
      </c>
      <c r="S248" s="5" t="s">
        <v>64</v>
      </c>
      <c r="T248" s="5" t="s">
        <v>65</v>
      </c>
      <c r="U248" s="5" t="s">
        <v>66</v>
      </c>
      <c r="V248" s="5" t="s">
        <v>956</v>
      </c>
      <c r="W248" s="5" t="s">
        <v>957</v>
      </c>
      <c r="X248" s="5" t="s">
        <v>437</v>
      </c>
      <c r="Y248" s="5" t="s">
        <v>958</v>
      </c>
      <c r="Z248" s="5" t="s">
        <v>71</v>
      </c>
      <c r="AA248" s="5" t="s">
        <v>72</v>
      </c>
      <c r="AB248" s="5" t="s">
        <v>73</v>
      </c>
      <c r="AC248" s="5" t="s">
        <v>228</v>
      </c>
      <c r="AD248" s="5" t="s">
        <v>75</v>
      </c>
      <c r="AE248" s="5" t="s">
        <v>727</v>
      </c>
      <c r="AF248" s="6">
        <v>35203.86</v>
      </c>
      <c r="AG248" s="7">
        <v>1</v>
      </c>
      <c r="AH248" s="6">
        <v>35203.86</v>
      </c>
      <c r="AI248" s="5" t="s">
        <v>959</v>
      </c>
      <c r="AJ248" s="10">
        <v>45945</v>
      </c>
      <c r="AK248" s="5" t="s">
        <v>955</v>
      </c>
      <c r="AL248" s="5" t="s">
        <v>79</v>
      </c>
      <c r="AM248" s="5">
        <v>1619409</v>
      </c>
      <c r="AN248" s="5" t="s">
        <v>80</v>
      </c>
      <c r="AO248" s="5">
        <v>1094010</v>
      </c>
      <c r="AP248" s="5" t="s">
        <v>81</v>
      </c>
      <c r="AQ248" s="5" t="s">
        <v>64</v>
      </c>
      <c r="AR248" s="5" t="s">
        <v>437</v>
      </c>
      <c r="AS248" s="5"/>
      <c r="AT248" s="5"/>
      <c r="AU248" s="5"/>
      <c r="AV248" s="5"/>
      <c r="AW248" s="8"/>
      <c r="AX248" t="s">
        <v>1135</v>
      </c>
      <c r="AY248" t="s">
        <v>2152</v>
      </c>
    </row>
    <row r="249" spans="1:51" x14ac:dyDescent="0.35">
      <c r="A249" s="4" t="s">
        <v>772</v>
      </c>
      <c r="B249" s="5" t="s">
        <v>772</v>
      </c>
      <c r="C249" s="5" t="s">
        <v>940</v>
      </c>
      <c r="D249" s="5" t="s">
        <v>50</v>
      </c>
      <c r="E249" s="5" t="s">
        <v>51</v>
      </c>
      <c r="F249" s="5" t="s">
        <v>932</v>
      </c>
      <c r="G249" s="5" t="s">
        <v>53</v>
      </c>
      <c r="H249" s="5" t="s">
        <v>54</v>
      </c>
      <c r="I249" s="5" t="s">
        <v>950</v>
      </c>
      <c r="J249" s="5" t="s">
        <v>56</v>
      </c>
      <c r="K249" s="5" t="s">
        <v>57</v>
      </c>
      <c r="L249" s="5" t="s">
        <v>58</v>
      </c>
      <c r="M249" s="5" t="s">
        <v>59</v>
      </c>
      <c r="N249" s="5" t="s">
        <v>60</v>
      </c>
      <c r="O249" s="5" t="s">
        <v>60</v>
      </c>
      <c r="P249" s="5" t="s">
        <v>61</v>
      </c>
      <c r="Q249" s="5" t="s">
        <v>62</v>
      </c>
      <c r="R249" s="5" t="s">
        <v>63</v>
      </c>
      <c r="S249" s="5" t="s">
        <v>64</v>
      </c>
      <c r="T249" s="5" t="s">
        <v>65</v>
      </c>
      <c r="U249" s="5" t="s">
        <v>66</v>
      </c>
      <c r="V249" s="5" t="s">
        <v>363</v>
      </c>
      <c r="W249" s="5" t="s">
        <v>845</v>
      </c>
      <c r="X249" s="5" t="s">
        <v>207</v>
      </c>
      <c r="Y249" s="5" t="s">
        <v>365</v>
      </c>
      <c r="Z249" s="5" t="s">
        <v>71</v>
      </c>
      <c r="AA249" s="5" t="s">
        <v>366</v>
      </c>
      <c r="AB249" s="5" t="s">
        <v>367</v>
      </c>
      <c r="AC249" s="5" t="s">
        <v>368</v>
      </c>
      <c r="AD249" s="5" t="s">
        <v>75</v>
      </c>
      <c r="AE249" s="5" t="s">
        <v>369</v>
      </c>
      <c r="AF249" s="6">
        <v>35226</v>
      </c>
      <c r="AG249" s="7">
        <v>1</v>
      </c>
      <c r="AH249" s="6">
        <v>35226</v>
      </c>
      <c r="AI249" s="5" t="s">
        <v>154</v>
      </c>
      <c r="AJ249" s="10">
        <v>45945</v>
      </c>
      <c r="AK249" s="5" t="s">
        <v>955</v>
      </c>
      <c r="AL249" s="5" t="s">
        <v>79</v>
      </c>
      <c r="AM249" s="5">
        <v>1619409</v>
      </c>
      <c r="AN249" s="5" t="s">
        <v>80</v>
      </c>
      <c r="AO249" s="5">
        <v>1094010</v>
      </c>
      <c r="AP249" s="5" t="s">
        <v>81</v>
      </c>
      <c r="AQ249" s="5" t="s">
        <v>64</v>
      </c>
      <c r="AR249" s="5" t="s">
        <v>207</v>
      </c>
      <c r="AS249" s="5"/>
      <c r="AT249" s="5"/>
      <c r="AU249" s="5"/>
      <c r="AV249" s="5"/>
      <c r="AW249" s="8"/>
      <c r="AX249" t="s">
        <v>1135</v>
      </c>
      <c r="AY249" t="s">
        <v>2152</v>
      </c>
    </row>
    <row r="250" spans="1:51" x14ac:dyDescent="0.35">
      <c r="A250" s="4" t="s">
        <v>772</v>
      </c>
      <c r="B250" s="5" t="s">
        <v>772</v>
      </c>
      <c r="C250" s="5" t="s">
        <v>940</v>
      </c>
      <c r="D250" s="5" t="s">
        <v>50</v>
      </c>
      <c r="E250" s="5" t="s">
        <v>51</v>
      </c>
      <c r="F250" s="5" t="s">
        <v>932</v>
      </c>
      <c r="G250" s="5" t="s">
        <v>174</v>
      </c>
      <c r="H250" s="5" t="s">
        <v>54</v>
      </c>
      <c r="I250" s="5" t="s">
        <v>960</v>
      </c>
      <c r="J250" s="5" t="s">
        <v>176</v>
      </c>
      <c r="K250" s="5" t="s">
        <v>177</v>
      </c>
      <c r="L250" s="5" t="s">
        <v>58</v>
      </c>
      <c r="M250" s="5" t="s">
        <v>178</v>
      </c>
      <c r="N250" s="5" t="s">
        <v>60</v>
      </c>
      <c r="O250" s="5" t="s">
        <v>60</v>
      </c>
      <c r="P250" s="5" t="s">
        <v>61</v>
      </c>
      <c r="Q250" s="5" t="s">
        <v>62</v>
      </c>
      <c r="R250" s="5" t="s">
        <v>63</v>
      </c>
      <c r="S250" s="5" t="s">
        <v>64</v>
      </c>
      <c r="T250" s="5" t="s">
        <v>65</v>
      </c>
      <c r="U250" s="5" t="s">
        <v>66</v>
      </c>
      <c r="V250" s="5" t="s">
        <v>961</v>
      </c>
      <c r="W250" s="5" t="s">
        <v>962</v>
      </c>
      <c r="X250" s="5" t="s">
        <v>706</v>
      </c>
      <c r="Y250" s="5" t="s">
        <v>963</v>
      </c>
      <c r="Z250" s="5" t="s">
        <v>174</v>
      </c>
      <c r="AA250" s="5" t="s">
        <v>182</v>
      </c>
      <c r="AB250" s="5" t="s">
        <v>183</v>
      </c>
      <c r="AC250" s="5" t="s">
        <v>964</v>
      </c>
      <c r="AD250" s="5" t="s">
        <v>75</v>
      </c>
      <c r="AE250" s="5" t="s">
        <v>965</v>
      </c>
      <c r="AF250" s="6">
        <v>4203.8</v>
      </c>
      <c r="AG250" s="7">
        <v>1</v>
      </c>
      <c r="AH250" s="6">
        <v>4203.8</v>
      </c>
      <c r="AI250" s="5" t="s">
        <v>966</v>
      </c>
      <c r="AJ250" s="10">
        <v>45945</v>
      </c>
      <c r="AK250" s="5" t="s">
        <v>967</v>
      </c>
      <c r="AL250" s="5" t="s">
        <v>188</v>
      </c>
      <c r="AM250" s="5">
        <v>2331362</v>
      </c>
      <c r="AN250" s="5" t="s">
        <v>189</v>
      </c>
      <c r="AO250" s="5">
        <v>1594456</v>
      </c>
      <c r="AP250" s="5" t="s">
        <v>81</v>
      </c>
      <c r="AQ250" s="5" t="s">
        <v>64</v>
      </c>
      <c r="AR250" s="5" t="s">
        <v>706</v>
      </c>
      <c r="AS250" s="5"/>
      <c r="AT250" s="5"/>
      <c r="AU250" s="5"/>
      <c r="AV250" s="5"/>
      <c r="AW250" s="8"/>
      <c r="AX250" t="s">
        <v>1135</v>
      </c>
      <c r="AY250" t="s">
        <v>2191</v>
      </c>
    </row>
    <row r="251" spans="1:51" x14ac:dyDescent="0.35">
      <c r="A251" s="4" t="s">
        <v>772</v>
      </c>
      <c r="B251" s="5" t="s">
        <v>772</v>
      </c>
      <c r="C251" s="5" t="s">
        <v>940</v>
      </c>
      <c r="D251" s="5" t="s">
        <v>50</v>
      </c>
      <c r="E251" s="5" t="s">
        <v>51</v>
      </c>
      <c r="F251" s="5" t="s">
        <v>932</v>
      </c>
      <c r="G251" s="5" t="s">
        <v>174</v>
      </c>
      <c r="H251" s="5" t="s">
        <v>54</v>
      </c>
      <c r="I251" s="5" t="s">
        <v>960</v>
      </c>
      <c r="J251" s="5" t="s">
        <v>176</v>
      </c>
      <c r="K251" s="5" t="s">
        <v>177</v>
      </c>
      <c r="L251" s="5" t="s">
        <v>58</v>
      </c>
      <c r="M251" s="5" t="s">
        <v>178</v>
      </c>
      <c r="N251" s="5" t="s">
        <v>60</v>
      </c>
      <c r="O251" s="5" t="s">
        <v>60</v>
      </c>
      <c r="P251" s="5" t="s">
        <v>61</v>
      </c>
      <c r="Q251" s="5" t="s">
        <v>62</v>
      </c>
      <c r="R251" s="5" t="s">
        <v>63</v>
      </c>
      <c r="S251" s="5" t="s">
        <v>64</v>
      </c>
      <c r="T251" s="5" t="s">
        <v>65</v>
      </c>
      <c r="U251" s="5" t="s">
        <v>66</v>
      </c>
      <c r="V251" s="5" t="s">
        <v>968</v>
      </c>
      <c r="W251" s="5" t="s">
        <v>969</v>
      </c>
      <c r="X251" s="5" t="s">
        <v>138</v>
      </c>
      <c r="Y251" s="5" t="s">
        <v>970</v>
      </c>
      <c r="Z251" s="5" t="s">
        <v>174</v>
      </c>
      <c r="AA251" s="5" t="s">
        <v>182</v>
      </c>
      <c r="AB251" s="5" t="s">
        <v>183</v>
      </c>
      <c r="AC251" s="5" t="s">
        <v>964</v>
      </c>
      <c r="AD251" s="5" t="s">
        <v>75</v>
      </c>
      <c r="AE251" s="5" t="s">
        <v>965</v>
      </c>
      <c r="AF251" s="6">
        <v>3938</v>
      </c>
      <c r="AG251" s="7">
        <v>1</v>
      </c>
      <c r="AH251" s="6">
        <v>3938</v>
      </c>
      <c r="AI251" s="5" t="s">
        <v>971</v>
      </c>
      <c r="AJ251" s="10">
        <v>45945</v>
      </c>
      <c r="AK251" s="5" t="s">
        <v>967</v>
      </c>
      <c r="AL251" s="5" t="s">
        <v>188</v>
      </c>
      <c r="AM251" s="5">
        <v>2331362</v>
      </c>
      <c r="AN251" s="5" t="s">
        <v>189</v>
      </c>
      <c r="AO251" s="5">
        <v>1594456</v>
      </c>
      <c r="AP251" s="5" t="s">
        <v>81</v>
      </c>
      <c r="AQ251" s="5" t="s">
        <v>64</v>
      </c>
      <c r="AR251" s="5" t="s">
        <v>138</v>
      </c>
      <c r="AS251" s="5"/>
      <c r="AT251" s="5"/>
      <c r="AU251" s="5"/>
      <c r="AV251" s="5"/>
      <c r="AW251" s="8"/>
      <c r="AX251" t="s">
        <v>1135</v>
      </c>
      <c r="AY251" t="s">
        <v>2191</v>
      </c>
    </row>
    <row r="252" spans="1:51" x14ac:dyDescent="0.35">
      <c r="A252" s="4" t="s">
        <v>772</v>
      </c>
      <c r="B252" s="5" t="s">
        <v>772</v>
      </c>
      <c r="C252" s="5" t="s">
        <v>972</v>
      </c>
      <c r="D252" s="5" t="s">
        <v>50</v>
      </c>
      <c r="E252" s="5" t="s">
        <v>51</v>
      </c>
      <c r="F252" s="5" t="s">
        <v>932</v>
      </c>
      <c r="G252" s="5" t="s">
        <v>53</v>
      </c>
      <c r="H252" s="5" t="s">
        <v>54</v>
      </c>
      <c r="I252" s="5" t="s">
        <v>973</v>
      </c>
      <c r="J252" s="5" t="s">
        <v>56</v>
      </c>
      <c r="K252" s="5" t="s">
        <v>57</v>
      </c>
      <c r="L252" s="5" t="s">
        <v>58</v>
      </c>
      <c r="M252" s="5" t="s">
        <v>59</v>
      </c>
      <c r="N252" s="5" t="s">
        <v>60</v>
      </c>
      <c r="O252" s="5" t="s">
        <v>60</v>
      </c>
      <c r="P252" s="5" t="s">
        <v>61</v>
      </c>
      <c r="Q252" s="5" t="s">
        <v>62</v>
      </c>
      <c r="R252" s="5" t="s">
        <v>63</v>
      </c>
      <c r="S252" s="5" t="s">
        <v>64</v>
      </c>
      <c r="T252" s="5" t="s">
        <v>65</v>
      </c>
      <c r="U252" s="5" t="s">
        <v>66</v>
      </c>
      <c r="V252" s="5" t="s">
        <v>490</v>
      </c>
      <c r="W252" s="5" t="s">
        <v>974</v>
      </c>
      <c r="X252" s="5" t="s">
        <v>450</v>
      </c>
      <c r="Y252" s="5" t="s">
        <v>493</v>
      </c>
      <c r="Z252" s="5" t="s">
        <v>71</v>
      </c>
      <c r="AA252" s="5" t="s">
        <v>87</v>
      </c>
      <c r="AB252" s="5" t="s">
        <v>104</v>
      </c>
      <c r="AC252" s="5" t="s">
        <v>105</v>
      </c>
      <c r="AD252" s="5" t="s">
        <v>75</v>
      </c>
      <c r="AE252" s="5" t="s">
        <v>170</v>
      </c>
      <c r="AF252" s="6">
        <v>2920</v>
      </c>
      <c r="AG252" s="7">
        <v>1</v>
      </c>
      <c r="AH252" s="6">
        <v>2920</v>
      </c>
      <c r="AI252" s="5" t="s">
        <v>154</v>
      </c>
      <c r="AJ252" s="10">
        <v>45946</v>
      </c>
      <c r="AK252" s="5" t="s">
        <v>975</v>
      </c>
      <c r="AL252" s="5" t="s">
        <v>79</v>
      </c>
      <c r="AM252" s="5">
        <v>1619409</v>
      </c>
      <c r="AN252" s="5" t="s">
        <v>80</v>
      </c>
      <c r="AO252" s="5">
        <v>1094010</v>
      </c>
      <c r="AP252" s="5" t="s">
        <v>81</v>
      </c>
      <c r="AQ252" s="5" t="s">
        <v>64</v>
      </c>
      <c r="AR252" s="5" t="s">
        <v>450</v>
      </c>
      <c r="AS252" s="5"/>
      <c r="AT252" s="5"/>
      <c r="AU252" s="5"/>
      <c r="AV252" s="5"/>
      <c r="AW252" s="8"/>
      <c r="AX252" t="s">
        <v>1135</v>
      </c>
      <c r="AY252" t="s">
        <v>2152</v>
      </c>
    </row>
    <row r="253" spans="1:51" x14ac:dyDescent="0.35">
      <c r="A253" s="4" t="s">
        <v>772</v>
      </c>
      <c r="B253" s="5" t="s">
        <v>772</v>
      </c>
      <c r="C253" s="5" t="s">
        <v>972</v>
      </c>
      <c r="D253" s="5" t="s">
        <v>50</v>
      </c>
      <c r="E253" s="5" t="s">
        <v>51</v>
      </c>
      <c r="F253" s="5" t="s">
        <v>932</v>
      </c>
      <c r="G253" s="5" t="s">
        <v>53</v>
      </c>
      <c r="H253" s="5" t="s">
        <v>54</v>
      </c>
      <c r="I253" s="5" t="s">
        <v>973</v>
      </c>
      <c r="J253" s="5" t="s">
        <v>56</v>
      </c>
      <c r="K253" s="5" t="s">
        <v>57</v>
      </c>
      <c r="L253" s="5" t="s">
        <v>58</v>
      </c>
      <c r="M253" s="5" t="s">
        <v>59</v>
      </c>
      <c r="N253" s="5" t="s">
        <v>60</v>
      </c>
      <c r="O253" s="5" t="s">
        <v>60</v>
      </c>
      <c r="P253" s="5" t="s">
        <v>61</v>
      </c>
      <c r="Q253" s="5" t="s">
        <v>62</v>
      </c>
      <c r="R253" s="5" t="s">
        <v>63</v>
      </c>
      <c r="S253" s="5" t="s">
        <v>64</v>
      </c>
      <c r="T253" s="5" t="s">
        <v>65</v>
      </c>
      <c r="U253" s="5" t="s">
        <v>66</v>
      </c>
      <c r="V253" s="5" t="s">
        <v>542</v>
      </c>
      <c r="W253" s="5" t="s">
        <v>976</v>
      </c>
      <c r="X253" s="5" t="s">
        <v>453</v>
      </c>
      <c r="Y253" s="5" t="s">
        <v>544</v>
      </c>
      <c r="Z253" s="5" t="s">
        <v>71</v>
      </c>
      <c r="AA253" s="5" t="s">
        <v>358</v>
      </c>
      <c r="AB253" s="5" t="s">
        <v>359</v>
      </c>
      <c r="AC253" s="5" t="s">
        <v>360</v>
      </c>
      <c r="AD253" s="5" t="s">
        <v>75</v>
      </c>
      <c r="AE253" s="5" t="s">
        <v>361</v>
      </c>
      <c r="AF253" s="6">
        <v>28000</v>
      </c>
      <c r="AG253" s="7">
        <v>1</v>
      </c>
      <c r="AH253" s="6">
        <v>28000</v>
      </c>
      <c r="AI253" s="5" t="s">
        <v>907</v>
      </c>
      <c r="AJ253" s="10">
        <v>45946</v>
      </c>
      <c r="AK253" s="5" t="s">
        <v>975</v>
      </c>
      <c r="AL253" s="5" t="s">
        <v>79</v>
      </c>
      <c r="AM253" s="5">
        <v>1619409</v>
      </c>
      <c r="AN253" s="5" t="s">
        <v>80</v>
      </c>
      <c r="AO253" s="5">
        <v>1094010</v>
      </c>
      <c r="AP253" s="5" t="s">
        <v>81</v>
      </c>
      <c r="AQ253" s="5" t="s">
        <v>64</v>
      </c>
      <c r="AR253" s="5" t="s">
        <v>453</v>
      </c>
      <c r="AS253" s="5"/>
      <c r="AT253" s="5"/>
      <c r="AU253" s="5"/>
      <c r="AV253" s="5"/>
      <c r="AW253" s="8"/>
      <c r="AX253" t="s">
        <v>1135</v>
      </c>
      <c r="AY253" t="s">
        <v>2152</v>
      </c>
    </row>
    <row r="254" spans="1:51" x14ac:dyDescent="0.35">
      <c r="A254" s="4" t="s">
        <v>772</v>
      </c>
      <c r="B254" s="5" t="s">
        <v>772</v>
      </c>
      <c r="C254" s="5" t="s">
        <v>972</v>
      </c>
      <c r="D254" s="5" t="s">
        <v>50</v>
      </c>
      <c r="E254" s="5" t="s">
        <v>51</v>
      </c>
      <c r="F254" s="5" t="s">
        <v>932</v>
      </c>
      <c r="G254" s="5" t="s">
        <v>53</v>
      </c>
      <c r="H254" s="5" t="s">
        <v>54</v>
      </c>
      <c r="I254" s="5" t="s">
        <v>973</v>
      </c>
      <c r="J254" s="5" t="s">
        <v>56</v>
      </c>
      <c r="K254" s="5" t="s">
        <v>57</v>
      </c>
      <c r="L254" s="5" t="s">
        <v>58</v>
      </c>
      <c r="M254" s="5" t="s">
        <v>59</v>
      </c>
      <c r="N254" s="5" t="s">
        <v>60</v>
      </c>
      <c r="O254" s="5" t="s">
        <v>60</v>
      </c>
      <c r="P254" s="5" t="s">
        <v>61</v>
      </c>
      <c r="Q254" s="5" t="s">
        <v>62</v>
      </c>
      <c r="R254" s="5" t="s">
        <v>63</v>
      </c>
      <c r="S254" s="5" t="s">
        <v>64</v>
      </c>
      <c r="T254" s="5" t="s">
        <v>65</v>
      </c>
      <c r="U254" s="5" t="s">
        <v>66</v>
      </c>
      <c r="V254" s="5" t="s">
        <v>216</v>
      </c>
      <c r="W254" s="5" t="s">
        <v>217</v>
      </c>
      <c r="X254" s="5" t="s">
        <v>218</v>
      </c>
      <c r="Y254" s="5" t="s">
        <v>219</v>
      </c>
      <c r="Z254" s="5" t="s">
        <v>71</v>
      </c>
      <c r="AA254" s="5" t="s">
        <v>87</v>
      </c>
      <c r="AB254" s="5" t="s">
        <v>88</v>
      </c>
      <c r="AC254" s="5" t="s">
        <v>89</v>
      </c>
      <c r="AD254" s="5" t="s">
        <v>75</v>
      </c>
      <c r="AE254" s="5" t="s">
        <v>124</v>
      </c>
      <c r="AF254" s="6">
        <v>4326</v>
      </c>
      <c r="AG254" s="7">
        <v>1</v>
      </c>
      <c r="AH254" s="6">
        <v>4326</v>
      </c>
      <c r="AI254" s="5" t="s">
        <v>118</v>
      </c>
      <c r="AJ254" s="10">
        <v>45946</v>
      </c>
      <c r="AK254" s="5" t="s">
        <v>975</v>
      </c>
      <c r="AL254" s="5" t="s">
        <v>79</v>
      </c>
      <c r="AM254" s="5">
        <v>1619409</v>
      </c>
      <c r="AN254" s="5" t="s">
        <v>80</v>
      </c>
      <c r="AO254" s="5">
        <v>1094010</v>
      </c>
      <c r="AP254" s="5" t="s">
        <v>81</v>
      </c>
      <c r="AQ254" s="5" t="s">
        <v>64</v>
      </c>
      <c r="AR254" s="5" t="s">
        <v>218</v>
      </c>
      <c r="AS254" s="5"/>
      <c r="AT254" s="5"/>
      <c r="AU254" s="5"/>
      <c r="AV254" s="5"/>
      <c r="AW254" s="8"/>
      <c r="AX254" t="s">
        <v>1135</v>
      </c>
      <c r="AY254" t="s">
        <v>2152</v>
      </c>
    </row>
    <row r="255" spans="1:51" x14ac:dyDescent="0.35">
      <c r="A255" s="4" t="s">
        <v>772</v>
      </c>
      <c r="B255" s="5" t="s">
        <v>772</v>
      </c>
      <c r="C255" s="5" t="s">
        <v>972</v>
      </c>
      <c r="D255" s="5" t="s">
        <v>50</v>
      </c>
      <c r="E255" s="5" t="s">
        <v>51</v>
      </c>
      <c r="F255" s="5" t="s">
        <v>932</v>
      </c>
      <c r="G255" s="5" t="s">
        <v>53</v>
      </c>
      <c r="H255" s="5" t="s">
        <v>54</v>
      </c>
      <c r="I255" s="5" t="s">
        <v>973</v>
      </c>
      <c r="J255" s="5" t="s">
        <v>56</v>
      </c>
      <c r="K255" s="5" t="s">
        <v>57</v>
      </c>
      <c r="L255" s="5" t="s">
        <v>58</v>
      </c>
      <c r="M255" s="5" t="s">
        <v>59</v>
      </c>
      <c r="N255" s="5" t="s">
        <v>60</v>
      </c>
      <c r="O255" s="5" t="s">
        <v>60</v>
      </c>
      <c r="P255" s="5" t="s">
        <v>61</v>
      </c>
      <c r="Q255" s="5" t="s">
        <v>62</v>
      </c>
      <c r="R255" s="5" t="s">
        <v>63</v>
      </c>
      <c r="S255" s="5" t="s">
        <v>64</v>
      </c>
      <c r="T255" s="5" t="s">
        <v>65</v>
      </c>
      <c r="U255" s="5" t="s">
        <v>66</v>
      </c>
      <c r="V255" s="5" t="s">
        <v>850</v>
      </c>
      <c r="W255" s="5" t="s">
        <v>977</v>
      </c>
      <c r="X255" s="5" t="s">
        <v>586</v>
      </c>
      <c r="Y255" s="5" t="s">
        <v>852</v>
      </c>
      <c r="Z255" s="5" t="s">
        <v>71</v>
      </c>
      <c r="AA255" s="5" t="s">
        <v>72</v>
      </c>
      <c r="AB255" s="5" t="s">
        <v>73</v>
      </c>
      <c r="AC255" s="5" t="s">
        <v>74</v>
      </c>
      <c r="AD255" s="5" t="s">
        <v>75</v>
      </c>
      <c r="AE255" s="5" t="s">
        <v>201</v>
      </c>
      <c r="AF255" s="6">
        <v>35203.86</v>
      </c>
      <c r="AG255" s="7">
        <v>1</v>
      </c>
      <c r="AH255" s="6">
        <v>35203.86</v>
      </c>
      <c r="AI255" s="5" t="s">
        <v>321</v>
      </c>
      <c r="AJ255" s="10">
        <v>45946</v>
      </c>
      <c r="AK255" s="5" t="s">
        <v>975</v>
      </c>
      <c r="AL255" s="5" t="s">
        <v>79</v>
      </c>
      <c r="AM255" s="5">
        <v>1619409</v>
      </c>
      <c r="AN255" s="5" t="s">
        <v>80</v>
      </c>
      <c r="AO255" s="5">
        <v>1094010</v>
      </c>
      <c r="AP255" s="5" t="s">
        <v>81</v>
      </c>
      <c r="AQ255" s="5" t="s">
        <v>64</v>
      </c>
      <c r="AR255" s="5" t="s">
        <v>586</v>
      </c>
      <c r="AS255" s="5"/>
      <c r="AT255" s="5"/>
      <c r="AU255" s="5"/>
      <c r="AV255" s="5"/>
      <c r="AW255" s="8"/>
      <c r="AX255" t="s">
        <v>1135</v>
      </c>
      <c r="AY255" t="s">
        <v>2152</v>
      </c>
    </row>
    <row r="256" spans="1:51" x14ac:dyDescent="0.35">
      <c r="A256" s="4" t="s">
        <v>772</v>
      </c>
      <c r="B256" s="5" t="s">
        <v>772</v>
      </c>
      <c r="C256" s="5" t="s">
        <v>972</v>
      </c>
      <c r="D256" s="5" t="s">
        <v>50</v>
      </c>
      <c r="E256" s="5" t="s">
        <v>51</v>
      </c>
      <c r="F256" s="5" t="s">
        <v>932</v>
      </c>
      <c r="G256" s="5" t="s">
        <v>53</v>
      </c>
      <c r="H256" s="5" t="s">
        <v>54</v>
      </c>
      <c r="I256" s="5" t="s">
        <v>978</v>
      </c>
      <c r="J256" s="5" t="s">
        <v>56</v>
      </c>
      <c r="K256" s="5" t="s">
        <v>57</v>
      </c>
      <c r="L256" s="5" t="s">
        <v>58</v>
      </c>
      <c r="M256" s="5" t="s">
        <v>59</v>
      </c>
      <c r="N256" s="5" t="s">
        <v>60</v>
      </c>
      <c r="O256" s="5" t="s">
        <v>60</v>
      </c>
      <c r="P256" s="5" t="s">
        <v>61</v>
      </c>
      <c r="Q256" s="5" t="s">
        <v>62</v>
      </c>
      <c r="R256" s="5" t="s">
        <v>63</v>
      </c>
      <c r="S256" s="5" t="s">
        <v>64</v>
      </c>
      <c r="T256" s="5" t="s">
        <v>65</v>
      </c>
      <c r="U256" s="5" t="s">
        <v>66</v>
      </c>
      <c r="V256" s="5" t="s">
        <v>472</v>
      </c>
      <c r="W256" s="5" t="s">
        <v>496</v>
      </c>
      <c r="X256" s="5" t="s">
        <v>207</v>
      </c>
      <c r="Y256" s="5" t="s">
        <v>474</v>
      </c>
      <c r="Z256" s="5" t="s">
        <v>71</v>
      </c>
      <c r="AA256" s="5" t="s">
        <v>87</v>
      </c>
      <c r="AB256" s="5" t="s">
        <v>88</v>
      </c>
      <c r="AC256" s="5" t="s">
        <v>89</v>
      </c>
      <c r="AD256" s="5" t="s">
        <v>75</v>
      </c>
      <c r="AE256" s="5" t="s">
        <v>124</v>
      </c>
      <c r="AF256" s="6">
        <v>4326</v>
      </c>
      <c r="AG256" s="7">
        <v>1</v>
      </c>
      <c r="AH256" s="6">
        <v>4326</v>
      </c>
      <c r="AI256" s="5" t="s">
        <v>118</v>
      </c>
      <c r="AJ256" s="10">
        <v>45946</v>
      </c>
      <c r="AK256" s="5" t="s">
        <v>979</v>
      </c>
      <c r="AL256" s="5" t="s">
        <v>79</v>
      </c>
      <c r="AM256" s="5">
        <v>1619409</v>
      </c>
      <c r="AN256" s="5" t="s">
        <v>80</v>
      </c>
      <c r="AO256" s="5">
        <v>1094010</v>
      </c>
      <c r="AP256" s="5" t="s">
        <v>81</v>
      </c>
      <c r="AQ256" s="5" t="s">
        <v>64</v>
      </c>
      <c r="AR256" s="5" t="s">
        <v>207</v>
      </c>
      <c r="AS256" s="5"/>
      <c r="AT256" s="5"/>
      <c r="AU256" s="5"/>
      <c r="AV256" s="5"/>
      <c r="AW256" s="8"/>
      <c r="AX256" t="s">
        <v>1135</v>
      </c>
      <c r="AY256" t="s">
        <v>2152</v>
      </c>
    </row>
    <row r="257" spans="1:51" x14ac:dyDescent="0.35">
      <c r="A257" s="4" t="s">
        <v>772</v>
      </c>
      <c r="B257" s="5" t="s">
        <v>772</v>
      </c>
      <c r="C257" s="5" t="s">
        <v>972</v>
      </c>
      <c r="D257" s="5" t="s">
        <v>50</v>
      </c>
      <c r="E257" s="5" t="s">
        <v>51</v>
      </c>
      <c r="F257" s="5" t="s">
        <v>932</v>
      </c>
      <c r="G257" s="5" t="s">
        <v>53</v>
      </c>
      <c r="H257" s="5" t="s">
        <v>54</v>
      </c>
      <c r="I257" s="5" t="s">
        <v>980</v>
      </c>
      <c r="J257" s="5" t="s">
        <v>56</v>
      </c>
      <c r="K257" s="5" t="s">
        <v>57</v>
      </c>
      <c r="L257" s="5" t="s">
        <v>58</v>
      </c>
      <c r="M257" s="5" t="s">
        <v>59</v>
      </c>
      <c r="N257" s="5" t="s">
        <v>60</v>
      </c>
      <c r="O257" s="5" t="s">
        <v>60</v>
      </c>
      <c r="P257" s="5" t="s">
        <v>61</v>
      </c>
      <c r="Q257" s="5" t="s">
        <v>62</v>
      </c>
      <c r="R257" s="5" t="s">
        <v>63</v>
      </c>
      <c r="S257" s="5" t="s">
        <v>64</v>
      </c>
      <c r="T257" s="5" t="s">
        <v>65</v>
      </c>
      <c r="U257" s="5" t="s">
        <v>66</v>
      </c>
      <c r="V257" s="5" t="s">
        <v>660</v>
      </c>
      <c r="W257" s="5" t="s">
        <v>661</v>
      </c>
      <c r="X257" s="5" t="s">
        <v>207</v>
      </c>
      <c r="Y257" s="5" t="s">
        <v>662</v>
      </c>
      <c r="Z257" s="5" t="s">
        <v>71</v>
      </c>
      <c r="AA257" s="5" t="s">
        <v>87</v>
      </c>
      <c r="AB257" s="5" t="s">
        <v>88</v>
      </c>
      <c r="AC257" s="5" t="s">
        <v>89</v>
      </c>
      <c r="AD257" s="5" t="s">
        <v>75</v>
      </c>
      <c r="AE257" s="5" t="s">
        <v>243</v>
      </c>
      <c r="AF257" s="6">
        <v>4326</v>
      </c>
      <c r="AG257" s="7">
        <v>1</v>
      </c>
      <c r="AH257" s="6">
        <v>4326</v>
      </c>
      <c r="AI257" s="5" t="s">
        <v>118</v>
      </c>
      <c r="AJ257" s="10">
        <v>45946</v>
      </c>
      <c r="AK257" s="5" t="s">
        <v>981</v>
      </c>
      <c r="AL257" s="5" t="s">
        <v>79</v>
      </c>
      <c r="AM257" s="5">
        <v>1619409</v>
      </c>
      <c r="AN257" s="5" t="s">
        <v>80</v>
      </c>
      <c r="AO257" s="5">
        <v>1094010</v>
      </c>
      <c r="AP257" s="5" t="s">
        <v>81</v>
      </c>
      <c r="AQ257" s="5" t="s">
        <v>64</v>
      </c>
      <c r="AR257" s="5" t="s">
        <v>207</v>
      </c>
      <c r="AS257" s="5"/>
      <c r="AT257" s="5"/>
      <c r="AU257" s="5"/>
      <c r="AV257" s="5"/>
      <c r="AW257" s="8"/>
      <c r="AX257" t="s">
        <v>1135</v>
      </c>
      <c r="AY257" t="s">
        <v>2152</v>
      </c>
    </row>
    <row r="258" spans="1:51" x14ac:dyDescent="0.35">
      <c r="A258" s="4" t="s">
        <v>772</v>
      </c>
      <c r="B258" s="5" t="s">
        <v>772</v>
      </c>
      <c r="C258" s="5" t="s">
        <v>972</v>
      </c>
      <c r="D258" s="5" t="s">
        <v>50</v>
      </c>
      <c r="E258" s="5" t="s">
        <v>51</v>
      </c>
      <c r="F258" s="5" t="s">
        <v>932</v>
      </c>
      <c r="G258" s="5" t="s">
        <v>53</v>
      </c>
      <c r="H258" s="5" t="s">
        <v>54</v>
      </c>
      <c r="I258" s="5" t="s">
        <v>982</v>
      </c>
      <c r="J258" s="5" t="s">
        <v>56</v>
      </c>
      <c r="K258" s="5" t="s">
        <v>57</v>
      </c>
      <c r="L258" s="5" t="s">
        <v>58</v>
      </c>
      <c r="M258" s="5" t="s">
        <v>59</v>
      </c>
      <c r="N258" s="5" t="s">
        <v>60</v>
      </c>
      <c r="O258" s="5" t="s">
        <v>60</v>
      </c>
      <c r="P258" s="5" t="s">
        <v>61</v>
      </c>
      <c r="Q258" s="5" t="s">
        <v>62</v>
      </c>
      <c r="R258" s="5" t="s">
        <v>63</v>
      </c>
      <c r="S258" s="5" t="s">
        <v>64</v>
      </c>
      <c r="T258" s="5" t="s">
        <v>65</v>
      </c>
      <c r="U258" s="5" t="s">
        <v>66</v>
      </c>
      <c r="V258" s="5" t="s">
        <v>240</v>
      </c>
      <c r="W258" s="5" t="s">
        <v>983</v>
      </c>
      <c r="X258" s="5" t="s">
        <v>138</v>
      </c>
      <c r="Y258" s="5" t="s">
        <v>242</v>
      </c>
      <c r="Z258" s="5" t="s">
        <v>71</v>
      </c>
      <c r="AA258" s="5" t="s">
        <v>87</v>
      </c>
      <c r="AB258" s="5" t="s">
        <v>88</v>
      </c>
      <c r="AC258" s="5" t="s">
        <v>89</v>
      </c>
      <c r="AD258" s="5" t="s">
        <v>75</v>
      </c>
      <c r="AE258" s="5" t="s">
        <v>243</v>
      </c>
      <c r="AF258" s="6">
        <v>4326</v>
      </c>
      <c r="AG258" s="7">
        <v>1</v>
      </c>
      <c r="AH258" s="6">
        <v>4326</v>
      </c>
      <c r="AI258" s="5" t="s">
        <v>91</v>
      </c>
      <c r="AJ258" s="10">
        <v>45946</v>
      </c>
      <c r="AK258" s="5" t="s">
        <v>984</v>
      </c>
      <c r="AL258" s="5" t="s">
        <v>79</v>
      </c>
      <c r="AM258" s="5">
        <v>1619409</v>
      </c>
      <c r="AN258" s="5" t="s">
        <v>80</v>
      </c>
      <c r="AO258" s="5">
        <v>1094010</v>
      </c>
      <c r="AP258" s="5" t="s">
        <v>81</v>
      </c>
      <c r="AQ258" s="5" t="s">
        <v>64</v>
      </c>
      <c r="AR258" s="5" t="s">
        <v>138</v>
      </c>
      <c r="AS258" s="5"/>
      <c r="AT258" s="5"/>
      <c r="AU258" s="5"/>
      <c r="AV258" s="5"/>
      <c r="AW258" s="8"/>
      <c r="AX258" t="s">
        <v>1135</v>
      </c>
      <c r="AY258" t="s">
        <v>2152</v>
      </c>
    </row>
    <row r="259" spans="1:51" x14ac:dyDescent="0.35">
      <c r="A259" s="4" t="s">
        <v>772</v>
      </c>
      <c r="B259" s="5" t="s">
        <v>772</v>
      </c>
      <c r="C259" s="5" t="s">
        <v>985</v>
      </c>
      <c r="D259" s="5" t="s">
        <v>50</v>
      </c>
      <c r="E259" s="5" t="s">
        <v>51</v>
      </c>
      <c r="F259" s="5" t="s">
        <v>565</v>
      </c>
      <c r="G259" s="5" t="s">
        <v>53</v>
      </c>
      <c r="H259" s="5" t="s">
        <v>54</v>
      </c>
      <c r="I259" s="5" t="s">
        <v>986</v>
      </c>
      <c r="J259" s="5" t="s">
        <v>56</v>
      </c>
      <c r="K259" s="5" t="s">
        <v>57</v>
      </c>
      <c r="L259" s="5" t="s">
        <v>58</v>
      </c>
      <c r="M259" s="5" t="s">
        <v>59</v>
      </c>
      <c r="N259" s="5" t="s">
        <v>60</v>
      </c>
      <c r="O259" s="5" t="s">
        <v>60</v>
      </c>
      <c r="P259" s="5" t="s">
        <v>61</v>
      </c>
      <c r="Q259" s="5" t="s">
        <v>62</v>
      </c>
      <c r="R259" s="5" t="s">
        <v>63</v>
      </c>
      <c r="S259" s="5" t="s">
        <v>64</v>
      </c>
      <c r="T259" s="5" t="s">
        <v>65</v>
      </c>
      <c r="U259" s="5" t="s">
        <v>66</v>
      </c>
      <c r="V259" s="5" t="s">
        <v>987</v>
      </c>
      <c r="W259" s="5" t="s">
        <v>988</v>
      </c>
      <c r="X259" s="5" t="s">
        <v>69</v>
      </c>
      <c r="Y259" s="5" t="s">
        <v>989</v>
      </c>
      <c r="Z259" s="5" t="s">
        <v>71</v>
      </c>
      <c r="AA259" s="5" t="s">
        <v>72</v>
      </c>
      <c r="AB259" s="5" t="s">
        <v>73</v>
      </c>
      <c r="AC259" s="5" t="s">
        <v>74</v>
      </c>
      <c r="AD259" s="5" t="s">
        <v>75</v>
      </c>
      <c r="AE259" s="5" t="s">
        <v>201</v>
      </c>
      <c r="AF259" s="6">
        <v>35203.86</v>
      </c>
      <c r="AG259" s="7">
        <v>1</v>
      </c>
      <c r="AH259" s="6">
        <v>35203.86</v>
      </c>
      <c r="AI259" s="5" t="s">
        <v>77</v>
      </c>
      <c r="AJ259" s="10">
        <v>45947</v>
      </c>
      <c r="AK259" s="5" t="s">
        <v>990</v>
      </c>
      <c r="AL259" s="5" t="s">
        <v>79</v>
      </c>
      <c r="AM259" s="5">
        <v>1619409</v>
      </c>
      <c r="AN259" s="5" t="s">
        <v>80</v>
      </c>
      <c r="AO259" s="5">
        <v>1094010</v>
      </c>
      <c r="AP259" s="5" t="s">
        <v>81</v>
      </c>
      <c r="AQ259" s="5" t="s">
        <v>64</v>
      </c>
      <c r="AR259" s="5" t="s">
        <v>69</v>
      </c>
      <c r="AS259" s="5"/>
      <c r="AT259" s="5"/>
      <c r="AU259" s="5"/>
      <c r="AV259" s="5"/>
      <c r="AW259" s="8"/>
      <c r="AX259" t="s">
        <v>1135</v>
      </c>
      <c r="AY259" t="s">
        <v>2152</v>
      </c>
    </row>
    <row r="260" spans="1:51" x14ac:dyDescent="0.35">
      <c r="A260" s="4" t="s">
        <v>772</v>
      </c>
      <c r="B260" s="5" t="s">
        <v>772</v>
      </c>
      <c r="C260" s="5" t="s">
        <v>985</v>
      </c>
      <c r="D260" s="5" t="s">
        <v>50</v>
      </c>
      <c r="E260" s="5" t="s">
        <v>51</v>
      </c>
      <c r="F260" s="5" t="s">
        <v>565</v>
      </c>
      <c r="G260" s="5" t="s">
        <v>53</v>
      </c>
      <c r="H260" s="5" t="s">
        <v>54</v>
      </c>
      <c r="I260" s="5" t="s">
        <v>986</v>
      </c>
      <c r="J260" s="5" t="s">
        <v>56</v>
      </c>
      <c r="K260" s="5" t="s">
        <v>57</v>
      </c>
      <c r="L260" s="5" t="s">
        <v>58</v>
      </c>
      <c r="M260" s="5" t="s">
        <v>59</v>
      </c>
      <c r="N260" s="5" t="s">
        <v>60</v>
      </c>
      <c r="O260" s="5" t="s">
        <v>60</v>
      </c>
      <c r="P260" s="5" t="s">
        <v>61</v>
      </c>
      <c r="Q260" s="5" t="s">
        <v>62</v>
      </c>
      <c r="R260" s="5" t="s">
        <v>63</v>
      </c>
      <c r="S260" s="5" t="s">
        <v>64</v>
      </c>
      <c r="T260" s="5" t="s">
        <v>65</v>
      </c>
      <c r="U260" s="5" t="s">
        <v>66</v>
      </c>
      <c r="V260" s="5" t="s">
        <v>220</v>
      </c>
      <c r="W260" s="5" t="s">
        <v>991</v>
      </c>
      <c r="X260" s="5" t="s">
        <v>85</v>
      </c>
      <c r="Y260" s="5" t="s">
        <v>222</v>
      </c>
      <c r="Z260" s="5" t="s">
        <v>71</v>
      </c>
      <c r="AA260" s="5" t="s">
        <v>72</v>
      </c>
      <c r="AB260" s="5" t="s">
        <v>73</v>
      </c>
      <c r="AC260" s="5" t="s">
        <v>74</v>
      </c>
      <c r="AD260" s="5" t="s">
        <v>75</v>
      </c>
      <c r="AE260" s="5" t="s">
        <v>223</v>
      </c>
      <c r="AF260" s="6">
        <v>35818.480000000003</v>
      </c>
      <c r="AG260" s="7">
        <v>1</v>
      </c>
      <c r="AH260" s="6">
        <v>35818.480000000003</v>
      </c>
      <c r="AI260" s="5" t="s">
        <v>901</v>
      </c>
      <c r="AJ260" s="10">
        <v>45947</v>
      </c>
      <c r="AK260" s="5" t="s">
        <v>990</v>
      </c>
      <c r="AL260" s="5" t="s">
        <v>79</v>
      </c>
      <c r="AM260" s="5">
        <v>1619409</v>
      </c>
      <c r="AN260" s="5" t="s">
        <v>80</v>
      </c>
      <c r="AO260" s="5">
        <v>1094010</v>
      </c>
      <c r="AP260" s="5" t="s">
        <v>81</v>
      </c>
      <c r="AQ260" s="5" t="s">
        <v>64</v>
      </c>
      <c r="AR260" s="5" t="s">
        <v>85</v>
      </c>
      <c r="AS260" s="5"/>
      <c r="AT260" s="5"/>
      <c r="AU260" s="5"/>
      <c r="AV260" s="5"/>
      <c r="AW260" s="8"/>
      <c r="AX260" t="s">
        <v>1135</v>
      </c>
      <c r="AY260" t="s">
        <v>2152</v>
      </c>
    </row>
    <row r="261" spans="1:51" x14ac:dyDescent="0.35">
      <c r="A261" s="4" t="s">
        <v>772</v>
      </c>
      <c r="B261" s="5" t="s">
        <v>772</v>
      </c>
      <c r="C261" s="5" t="s">
        <v>985</v>
      </c>
      <c r="D261" s="5" t="s">
        <v>50</v>
      </c>
      <c r="E261" s="5" t="s">
        <v>51</v>
      </c>
      <c r="F261" s="5" t="s">
        <v>565</v>
      </c>
      <c r="G261" s="5" t="s">
        <v>53</v>
      </c>
      <c r="H261" s="5" t="s">
        <v>54</v>
      </c>
      <c r="I261" s="5" t="s">
        <v>986</v>
      </c>
      <c r="J261" s="5" t="s">
        <v>56</v>
      </c>
      <c r="K261" s="5" t="s">
        <v>57</v>
      </c>
      <c r="L261" s="5" t="s">
        <v>58</v>
      </c>
      <c r="M261" s="5" t="s">
        <v>59</v>
      </c>
      <c r="N261" s="5" t="s">
        <v>60</v>
      </c>
      <c r="O261" s="5" t="s">
        <v>60</v>
      </c>
      <c r="P261" s="5" t="s">
        <v>61</v>
      </c>
      <c r="Q261" s="5" t="s">
        <v>62</v>
      </c>
      <c r="R261" s="5" t="s">
        <v>63</v>
      </c>
      <c r="S261" s="5" t="s">
        <v>64</v>
      </c>
      <c r="T261" s="5" t="s">
        <v>65</v>
      </c>
      <c r="U261" s="5" t="s">
        <v>66</v>
      </c>
      <c r="V261" s="5" t="s">
        <v>457</v>
      </c>
      <c r="W261" s="5" t="s">
        <v>992</v>
      </c>
      <c r="X261" s="5" t="s">
        <v>69</v>
      </c>
      <c r="Y261" s="5" t="s">
        <v>460</v>
      </c>
      <c r="Z261" s="5" t="s">
        <v>71</v>
      </c>
      <c r="AA261" s="5" t="s">
        <v>72</v>
      </c>
      <c r="AB261" s="5" t="s">
        <v>73</v>
      </c>
      <c r="AC261" s="5" t="s">
        <v>74</v>
      </c>
      <c r="AD261" s="5" t="s">
        <v>75</v>
      </c>
      <c r="AE261" s="5" t="s">
        <v>158</v>
      </c>
      <c r="AF261" s="6">
        <v>35818.480000000003</v>
      </c>
      <c r="AG261" s="7">
        <v>1</v>
      </c>
      <c r="AH261" s="6">
        <v>35818.480000000003</v>
      </c>
      <c r="AI261" s="5" t="s">
        <v>723</v>
      </c>
      <c r="AJ261" s="10">
        <v>45947</v>
      </c>
      <c r="AK261" s="5" t="s">
        <v>990</v>
      </c>
      <c r="AL261" s="5" t="s">
        <v>79</v>
      </c>
      <c r="AM261" s="5">
        <v>1619409</v>
      </c>
      <c r="AN261" s="5" t="s">
        <v>80</v>
      </c>
      <c r="AO261" s="5">
        <v>1094010</v>
      </c>
      <c r="AP261" s="5" t="s">
        <v>81</v>
      </c>
      <c r="AQ261" s="5" t="s">
        <v>64</v>
      </c>
      <c r="AR261" s="5" t="s">
        <v>69</v>
      </c>
      <c r="AS261" s="5"/>
      <c r="AT261" s="5"/>
      <c r="AU261" s="5"/>
      <c r="AV261" s="5"/>
      <c r="AW261" s="8"/>
      <c r="AX261" t="s">
        <v>1135</v>
      </c>
      <c r="AY261" t="s">
        <v>2152</v>
      </c>
    </row>
    <row r="262" spans="1:51" x14ac:dyDescent="0.35">
      <c r="A262" s="4" t="s">
        <v>772</v>
      </c>
      <c r="B262" s="5" t="s">
        <v>772</v>
      </c>
      <c r="C262" s="5" t="s">
        <v>985</v>
      </c>
      <c r="D262" s="5" t="s">
        <v>50</v>
      </c>
      <c r="E262" s="5" t="s">
        <v>51</v>
      </c>
      <c r="F262" s="5" t="s">
        <v>565</v>
      </c>
      <c r="G262" s="5" t="s">
        <v>53</v>
      </c>
      <c r="H262" s="5" t="s">
        <v>54</v>
      </c>
      <c r="I262" s="5" t="s">
        <v>993</v>
      </c>
      <c r="J262" s="5" t="s">
        <v>56</v>
      </c>
      <c r="K262" s="5" t="s">
        <v>57</v>
      </c>
      <c r="L262" s="5" t="s">
        <v>58</v>
      </c>
      <c r="M262" s="5" t="s">
        <v>59</v>
      </c>
      <c r="N262" s="5" t="s">
        <v>60</v>
      </c>
      <c r="O262" s="5" t="s">
        <v>60</v>
      </c>
      <c r="P262" s="5" t="s">
        <v>61</v>
      </c>
      <c r="Q262" s="5" t="s">
        <v>62</v>
      </c>
      <c r="R262" s="5" t="s">
        <v>63</v>
      </c>
      <c r="S262" s="5" t="s">
        <v>64</v>
      </c>
      <c r="T262" s="5" t="s">
        <v>65</v>
      </c>
      <c r="U262" s="5" t="s">
        <v>66</v>
      </c>
      <c r="V262" s="5" t="s">
        <v>798</v>
      </c>
      <c r="W262" s="5" t="s">
        <v>930</v>
      </c>
      <c r="X262" s="5" t="s">
        <v>207</v>
      </c>
      <c r="Y262" s="5" t="s">
        <v>800</v>
      </c>
      <c r="Z262" s="5" t="s">
        <v>71</v>
      </c>
      <c r="AA262" s="5" t="s">
        <v>87</v>
      </c>
      <c r="AB262" s="5" t="s">
        <v>88</v>
      </c>
      <c r="AC262" s="5" t="s">
        <v>89</v>
      </c>
      <c r="AD262" s="5" t="s">
        <v>75</v>
      </c>
      <c r="AE262" s="5" t="s">
        <v>124</v>
      </c>
      <c r="AF262" s="6">
        <v>4326</v>
      </c>
      <c r="AG262" s="7">
        <v>1</v>
      </c>
      <c r="AH262" s="6">
        <v>4326</v>
      </c>
      <c r="AI262" s="5" t="s">
        <v>118</v>
      </c>
      <c r="AJ262" s="10">
        <v>45947</v>
      </c>
      <c r="AK262" s="5" t="s">
        <v>994</v>
      </c>
      <c r="AL262" s="5" t="s">
        <v>79</v>
      </c>
      <c r="AM262" s="5">
        <v>1619409</v>
      </c>
      <c r="AN262" s="5" t="s">
        <v>80</v>
      </c>
      <c r="AO262" s="5">
        <v>1094010</v>
      </c>
      <c r="AP262" s="5" t="s">
        <v>81</v>
      </c>
      <c r="AQ262" s="5" t="s">
        <v>64</v>
      </c>
      <c r="AR262" s="5" t="s">
        <v>207</v>
      </c>
      <c r="AS262" s="5"/>
      <c r="AT262" s="5"/>
      <c r="AU262" s="5"/>
      <c r="AV262" s="5"/>
      <c r="AW262" s="8"/>
      <c r="AX262" t="s">
        <v>1135</v>
      </c>
      <c r="AY262" t="s">
        <v>2152</v>
      </c>
    </row>
    <row r="263" spans="1:51" x14ac:dyDescent="0.35">
      <c r="A263" s="4" t="s">
        <v>772</v>
      </c>
      <c r="B263" s="5" t="s">
        <v>772</v>
      </c>
      <c r="C263" s="5" t="s">
        <v>985</v>
      </c>
      <c r="D263" s="5" t="s">
        <v>50</v>
      </c>
      <c r="E263" s="5" t="s">
        <v>51</v>
      </c>
      <c r="F263" s="5" t="s">
        <v>565</v>
      </c>
      <c r="G263" s="5" t="s">
        <v>53</v>
      </c>
      <c r="H263" s="5" t="s">
        <v>54</v>
      </c>
      <c r="I263" s="5" t="s">
        <v>995</v>
      </c>
      <c r="J263" s="5" t="s">
        <v>56</v>
      </c>
      <c r="K263" s="5" t="s">
        <v>57</v>
      </c>
      <c r="L263" s="5" t="s">
        <v>58</v>
      </c>
      <c r="M263" s="5" t="s">
        <v>59</v>
      </c>
      <c r="N263" s="5" t="s">
        <v>60</v>
      </c>
      <c r="O263" s="5" t="s">
        <v>60</v>
      </c>
      <c r="P263" s="5" t="s">
        <v>61</v>
      </c>
      <c r="Q263" s="5" t="s">
        <v>62</v>
      </c>
      <c r="R263" s="5" t="s">
        <v>63</v>
      </c>
      <c r="S263" s="5" t="s">
        <v>64</v>
      </c>
      <c r="T263" s="5" t="s">
        <v>65</v>
      </c>
      <c r="U263" s="5" t="s">
        <v>66</v>
      </c>
      <c r="V263" s="5" t="s">
        <v>502</v>
      </c>
      <c r="W263" s="5" t="s">
        <v>890</v>
      </c>
      <c r="X263" s="5" t="s">
        <v>162</v>
      </c>
      <c r="Y263" s="5" t="s">
        <v>505</v>
      </c>
      <c r="Z263" s="5" t="s">
        <v>71</v>
      </c>
      <c r="AA263" s="5" t="s">
        <v>87</v>
      </c>
      <c r="AB263" s="5" t="s">
        <v>88</v>
      </c>
      <c r="AC263" s="5" t="s">
        <v>89</v>
      </c>
      <c r="AD263" s="5" t="s">
        <v>75</v>
      </c>
      <c r="AE263" s="5" t="s">
        <v>97</v>
      </c>
      <c r="AF263" s="6">
        <v>4326</v>
      </c>
      <c r="AG263" s="7">
        <v>1</v>
      </c>
      <c r="AH263" s="6">
        <v>4326</v>
      </c>
      <c r="AI263" s="5" t="s">
        <v>154</v>
      </c>
      <c r="AJ263" s="10">
        <v>45947</v>
      </c>
      <c r="AK263" s="5" t="s">
        <v>996</v>
      </c>
      <c r="AL263" s="5" t="s">
        <v>79</v>
      </c>
      <c r="AM263" s="5">
        <v>1619409</v>
      </c>
      <c r="AN263" s="5" t="s">
        <v>80</v>
      </c>
      <c r="AO263" s="5">
        <v>1094010</v>
      </c>
      <c r="AP263" s="5" t="s">
        <v>81</v>
      </c>
      <c r="AQ263" s="5" t="s">
        <v>64</v>
      </c>
      <c r="AR263" s="5" t="s">
        <v>162</v>
      </c>
      <c r="AS263" s="5"/>
      <c r="AT263" s="5"/>
      <c r="AU263" s="5"/>
      <c r="AV263" s="5"/>
      <c r="AW263" s="8"/>
      <c r="AX263" t="s">
        <v>1135</v>
      </c>
      <c r="AY263" t="s">
        <v>2152</v>
      </c>
    </row>
    <row r="264" spans="1:51" x14ac:dyDescent="0.35">
      <c r="A264" s="4" t="s">
        <v>772</v>
      </c>
      <c r="B264" s="5" t="s">
        <v>772</v>
      </c>
      <c r="C264" s="5" t="s">
        <v>985</v>
      </c>
      <c r="D264" s="5" t="s">
        <v>50</v>
      </c>
      <c r="E264" s="5" t="s">
        <v>51</v>
      </c>
      <c r="F264" s="5" t="s">
        <v>565</v>
      </c>
      <c r="G264" s="5" t="s">
        <v>53</v>
      </c>
      <c r="H264" s="5" t="s">
        <v>54</v>
      </c>
      <c r="I264" s="5" t="s">
        <v>997</v>
      </c>
      <c r="J264" s="5" t="s">
        <v>56</v>
      </c>
      <c r="K264" s="5" t="s">
        <v>57</v>
      </c>
      <c r="L264" s="5" t="s">
        <v>58</v>
      </c>
      <c r="M264" s="5" t="s">
        <v>59</v>
      </c>
      <c r="N264" s="5" t="s">
        <v>60</v>
      </c>
      <c r="O264" s="5" t="s">
        <v>60</v>
      </c>
      <c r="P264" s="5" t="s">
        <v>61</v>
      </c>
      <c r="Q264" s="5" t="s">
        <v>62</v>
      </c>
      <c r="R264" s="5" t="s">
        <v>63</v>
      </c>
      <c r="S264" s="5" t="s">
        <v>64</v>
      </c>
      <c r="T264" s="5" t="s">
        <v>65</v>
      </c>
      <c r="U264" s="5" t="s">
        <v>66</v>
      </c>
      <c r="V264" s="5" t="s">
        <v>548</v>
      </c>
      <c r="W264" s="5" t="s">
        <v>998</v>
      </c>
      <c r="X264" s="5" t="s">
        <v>356</v>
      </c>
      <c r="Y264" s="5" t="s">
        <v>550</v>
      </c>
      <c r="Z264" s="5" t="s">
        <v>71</v>
      </c>
      <c r="AA264" s="5" t="s">
        <v>87</v>
      </c>
      <c r="AB264" s="5" t="s">
        <v>88</v>
      </c>
      <c r="AC264" s="5" t="s">
        <v>89</v>
      </c>
      <c r="AD264" s="5" t="s">
        <v>75</v>
      </c>
      <c r="AE264" s="5" t="s">
        <v>117</v>
      </c>
      <c r="AF264" s="6">
        <v>4000</v>
      </c>
      <c r="AG264" s="7">
        <v>1</v>
      </c>
      <c r="AH264" s="6">
        <v>4000</v>
      </c>
      <c r="AI264" s="5" t="s">
        <v>999</v>
      </c>
      <c r="AJ264" s="10">
        <v>45947</v>
      </c>
      <c r="AK264" s="5" t="s">
        <v>1000</v>
      </c>
      <c r="AL264" s="5" t="s">
        <v>79</v>
      </c>
      <c r="AM264" s="5">
        <v>1619409</v>
      </c>
      <c r="AN264" s="5" t="s">
        <v>80</v>
      </c>
      <c r="AO264" s="5">
        <v>1094010</v>
      </c>
      <c r="AP264" s="5" t="s">
        <v>81</v>
      </c>
      <c r="AQ264" s="5" t="s">
        <v>64</v>
      </c>
      <c r="AR264" s="5" t="s">
        <v>356</v>
      </c>
      <c r="AS264" s="5"/>
      <c r="AT264" s="5"/>
      <c r="AU264" s="5"/>
      <c r="AV264" s="5"/>
      <c r="AW264" s="8"/>
      <c r="AX264" t="s">
        <v>1135</v>
      </c>
      <c r="AY264" t="s">
        <v>2152</v>
      </c>
    </row>
    <row r="265" spans="1:51" x14ac:dyDescent="0.35">
      <c r="A265" s="4" t="s">
        <v>772</v>
      </c>
      <c r="B265" s="5" t="s">
        <v>772</v>
      </c>
      <c r="C265" s="5" t="s">
        <v>985</v>
      </c>
      <c r="D265" s="5" t="s">
        <v>50</v>
      </c>
      <c r="E265" s="5" t="s">
        <v>51</v>
      </c>
      <c r="F265" s="5" t="s">
        <v>565</v>
      </c>
      <c r="G265" s="5" t="s">
        <v>53</v>
      </c>
      <c r="H265" s="5" t="s">
        <v>54</v>
      </c>
      <c r="I265" s="5" t="s">
        <v>997</v>
      </c>
      <c r="J265" s="5" t="s">
        <v>56</v>
      </c>
      <c r="K265" s="5" t="s">
        <v>57</v>
      </c>
      <c r="L265" s="5" t="s">
        <v>58</v>
      </c>
      <c r="M265" s="5" t="s">
        <v>59</v>
      </c>
      <c r="N265" s="5" t="s">
        <v>60</v>
      </c>
      <c r="O265" s="5" t="s">
        <v>60</v>
      </c>
      <c r="P265" s="5" t="s">
        <v>61</v>
      </c>
      <c r="Q265" s="5" t="s">
        <v>62</v>
      </c>
      <c r="R265" s="5" t="s">
        <v>63</v>
      </c>
      <c r="S265" s="5" t="s">
        <v>64</v>
      </c>
      <c r="T265" s="5" t="s">
        <v>65</v>
      </c>
      <c r="U265" s="5" t="s">
        <v>66</v>
      </c>
      <c r="V265" s="5" t="s">
        <v>535</v>
      </c>
      <c r="W265" s="5" t="s">
        <v>536</v>
      </c>
      <c r="X265" s="5" t="s">
        <v>207</v>
      </c>
      <c r="Y265" s="5" t="s">
        <v>537</v>
      </c>
      <c r="Z265" s="5" t="s">
        <v>71</v>
      </c>
      <c r="AA265" s="5" t="s">
        <v>87</v>
      </c>
      <c r="AB265" s="5" t="s">
        <v>88</v>
      </c>
      <c r="AC265" s="5" t="s">
        <v>89</v>
      </c>
      <c r="AD265" s="5" t="s">
        <v>75</v>
      </c>
      <c r="AE265" s="5" t="s">
        <v>117</v>
      </c>
      <c r="AF265" s="6">
        <v>4326</v>
      </c>
      <c r="AG265" s="7">
        <v>1</v>
      </c>
      <c r="AH265" s="6">
        <v>4326</v>
      </c>
      <c r="AI265" s="5" t="s">
        <v>118</v>
      </c>
      <c r="AJ265" s="10">
        <v>45947</v>
      </c>
      <c r="AK265" s="5" t="s">
        <v>1000</v>
      </c>
      <c r="AL265" s="5" t="s">
        <v>79</v>
      </c>
      <c r="AM265" s="5">
        <v>1619409</v>
      </c>
      <c r="AN265" s="5" t="s">
        <v>80</v>
      </c>
      <c r="AO265" s="5">
        <v>1094010</v>
      </c>
      <c r="AP265" s="5" t="s">
        <v>81</v>
      </c>
      <c r="AQ265" s="5" t="s">
        <v>64</v>
      </c>
      <c r="AR265" s="5" t="s">
        <v>207</v>
      </c>
      <c r="AS265" s="5"/>
      <c r="AT265" s="5"/>
      <c r="AU265" s="5"/>
      <c r="AV265" s="5"/>
      <c r="AW265" s="8"/>
      <c r="AX265" t="s">
        <v>1135</v>
      </c>
      <c r="AY265" t="s">
        <v>2152</v>
      </c>
    </row>
    <row r="266" spans="1:51" x14ac:dyDescent="0.35">
      <c r="A266" s="4" t="s">
        <v>772</v>
      </c>
      <c r="B266" s="5" t="s">
        <v>772</v>
      </c>
      <c r="C266" s="5" t="s">
        <v>985</v>
      </c>
      <c r="D266" s="5" t="s">
        <v>50</v>
      </c>
      <c r="E266" s="5" t="s">
        <v>51</v>
      </c>
      <c r="F266" s="5" t="s">
        <v>565</v>
      </c>
      <c r="G266" s="5" t="s">
        <v>53</v>
      </c>
      <c r="H266" s="5" t="s">
        <v>54</v>
      </c>
      <c r="I266" s="5" t="s">
        <v>1001</v>
      </c>
      <c r="J266" s="5" t="s">
        <v>56</v>
      </c>
      <c r="K266" s="5" t="s">
        <v>57</v>
      </c>
      <c r="L266" s="5" t="s">
        <v>58</v>
      </c>
      <c r="M266" s="5" t="s">
        <v>59</v>
      </c>
      <c r="N266" s="5" t="s">
        <v>60</v>
      </c>
      <c r="O266" s="5" t="s">
        <v>60</v>
      </c>
      <c r="P266" s="5" t="s">
        <v>61</v>
      </c>
      <c r="Q266" s="5" t="s">
        <v>62</v>
      </c>
      <c r="R266" s="5" t="s">
        <v>63</v>
      </c>
      <c r="S266" s="5" t="s">
        <v>64</v>
      </c>
      <c r="T266" s="5" t="s">
        <v>65</v>
      </c>
      <c r="U266" s="5" t="s">
        <v>66</v>
      </c>
      <c r="V266" s="5" t="s">
        <v>329</v>
      </c>
      <c r="W266" s="5" t="s">
        <v>330</v>
      </c>
      <c r="X266" s="5" t="s">
        <v>129</v>
      </c>
      <c r="Y266" s="5" t="s">
        <v>331</v>
      </c>
      <c r="Z266" s="5" t="s">
        <v>71</v>
      </c>
      <c r="AA266" s="5" t="s">
        <v>87</v>
      </c>
      <c r="AB266" s="5" t="s">
        <v>88</v>
      </c>
      <c r="AC266" s="5" t="s">
        <v>89</v>
      </c>
      <c r="AD266" s="5" t="s">
        <v>75</v>
      </c>
      <c r="AE266" s="5" t="s">
        <v>90</v>
      </c>
      <c r="AF266" s="6">
        <v>4326</v>
      </c>
      <c r="AG266" s="7">
        <v>1</v>
      </c>
      <c r="AH266" s="6">
        <v>4326</v>
      </c>
      <c r="AI266" s="5" t="s">
        <v>118</v>
      </c>
      <c r="AJ266" s="10">
        <v>45947</v>
      </c>
      <c r="AK266" s="5" t="s">
        <v>1002</v>
      </c>
      <c r="AL266" s="5" t="s">
        <v>79</v>
      </c>
      <c r="AM266" s="5">
        <v>1619409</v>
      </c>
      <c r="AN266" s="5" t="s">
        <v>80</v>
      </c>
      <c r="AO266" s="5">
        <v>1094010</v>
      </c>
      <c r="AP266" s="5" t="s">
        <v>81</v>
      </c>
      <c r="AQ266" s="5" t="s">
        <v>64</v>
      </c>
      <c r="AR266" s="5" t="s">
        <v>129</v>
      </c>
      <c r="AS266" s="5"/>
      <c r="AT266" s="5"/>
      <c r="AU266" s="5"/>
      <c r="AV266" s="5"/>
      <c r="AW266" s="8"/>
      <c r="AX266" t="s">
        <v>1135</v>
      </c>
      <c r="AY266" t="s">
        <v>2152</v>
      </c>
    </row>
    <row r="267" spans="1:51" x14ac:dyDescent="0.35">
      <c r="A267" s="4" t="s">
        <v>772</v>
      </c>
      <c r="B267" s="5" t="s">
        <v>772</v>
      </c>
      <c r="C267" s="5" t="s">
        <v>985</v>
      </c>
      <c r="D267" s="5" t="s">
        <v>50</v>
      </c>
      <c r="E267" s="5" t="s">
        <v>51</v>
      </c>
      <c r="F267" s="5" t="s">
        <v>565</v>
      </c>
      <c r="G267" s="5" t="s">
        <v>53</v>
      </c>
      <c r="H267" s="5" t="s">
        <v>54</v>
      </c>
      <c r="I267" s="5" t="s">
        <v>1001</v>
      </c>
      <c r="J267" s="5" t="s">
        <v>56</v>
      </c>
      <c r="K267" s="5" t="s">
        <v>57</v>
      </c>
      <c r="L267" s="5" t="s">
        <v>58</v>
      </c>
      <c r="M267" s="5" t="s">
        <v>59</v>
      </c>
      <c r="N267" s="5" t="s">
        <v>60</v>
      </c>
      <c r="O267" s="5" t="s">
        <v>60</v>
      </c>
      <c r="P267" s="5" t="s">
        <v>61</v>
      </c>
      <c r="Q267" s="5" t="s">
        <v>62</v>
      </c>
      <c r="R267" s="5" t="s">
        <v>63</v>
      </c>
      <c r="S267" s="5" t="s">
        <v>64</v>
      </c>
      <c r="T267" s="5" t="s">
        <v>65</v>
      </c>
      <c r="U267" s="5" t="s">
        <v>66</v>
      </c>
      <c r="V267" s="5" t="s">
        <v>798</v>
      </c>
      <c r="W267" s="5" t="s">
        <v>930</v>
      </c>
      <c r="X267" s="5" t="s">
        <v>207</v>
      </c>
      <c r="Y267" s="5" t="s">
        <v>800</v>
      </c>
      <c r="Z267" s="5" t="s">
        <v>71</v>
      </c>
      <c r="AA267" s="5" t="s">
        <v>87</v>
      </c>
      <c r="AB267" s="5" t="s">
        <v>88</v>
      </c>
      <c r="AC267" s="5" t="s">
        <v>89</v>
      </c>
      <c r="AD267" s="5" t="s">
        <v>75</v>
      </c>
      <c r="AE267" s="5" t="s">
        <v>124</v>
      </c>
      <c r="AF267" s="6">
        <v>4326</v>
      </c>
      <c r="AG267" s="7">
        <v>1</v>
      </c>
      <c r="AH267" s="6">
        <v>4326</v>
      </c>
      <c r="AI267" s="5" t="s">
        <v>118</v>
      </c>
      <c r="AJ267" s="10">
        <v>45947</v>
      </c>
      <c r="AK267" s="5" t="s">
        <v>1002</v>
      </c>
      <c r="AL267" s="5" t="s">
        <v>79</v>
      </c>
      <c r="AM267" s="5">
        <v>1619409</v>
      </c>
      <c r="AN267" s="5" t="s">
        <v>80</v>
      </c>
      <c r="AO267" s="5">
        <v>1094010</v>
      </c>
      <c r="AP267" s="5" t="s">
        <v>81</v>
      </c>
      <c r="AQ267" s="5" t="s">
        <v>64</v>
      </c>
      <c r="AR267" s="5" t="s">
        <v>207</v>
      </c>
      <c r="AS267" s="5"/>
      <c r="AT267" s="5"/>
      <c r="AU267" s="5"/>
      <c r="AV267" s="5"/>
      <c r="AW267" s="8"/>
      <c r="AX267" t="s">
        <v>1135</v>
      </c>
      <c r="AY267" t="s">
        <v>2152</v>
      </c>
    </row>
    <row r="268" spans="1:51" x14ac:dyDescent="0.35">
      <c r="A268" s="4" t="s">
        <v>772</v>
      </c>
      <c r="B268" s="5" t="s">
        <v>772</v>
      </c>
      <c r="C268" s="5" t="s">
        <v>774</v>
      </c>
      <c r="D268" s="5" t="s">
        <v>50</v>
      </c>
      <c r="E268" s="5" t="s">
        <v>51</v>
      </c>
      <c r="F268" s="5" t="s">
        <v>565</v>
      </c>
      <c r="G268" s="5" t="s">
        <v>53</v>
      </c>
      <c r="H268" s="5" t="s">
        <v>54</v>
      </c>
      <c r="I268" s="5" t="s">
        <v>1003</v>
      </c>
      <c r="J268" s="5" t="s">
        <v>56</v>
      </c>
      <c r="K268" s="5" t="s">
        <v>57</v>
      </c>
      <c r="L268" s="5" t="s">
        <v>58</v>
      </c>
      <c r="M268" s="5" t="s">
        <v>59</v>
      </c>
      <c r="N268" s="5" t="s">
        <v>60</v>
      </c>
      <c r="O268" s="5" t="s">
        <v>60</v>
      </c>
      <c r="P268" s="5" t="s">
        <v>61</v>
      </c>
      <c r="Q268" s="5" t="s">
        <v>62</v>
      </c>
      <c r="R268" s="5" t="s">
        <v>63</v>
      </c>
      <c r="S268" s="5" t="s">
        <v>64</v>
      </c>
      <c r="T268" s="5" t="s">
        <v>65</v>
      </c>
      <c r="U268" s="5" t="s">
        <v>66</v>
      </c>
      <c r="V268" s="5" t="s">
        <v>478</v>
      </c>
      <c r="W268" s="5" t="s">
        <v>479</v>
      </c>
      <c r="X268" s="5" t="s">
        <v>162</v>
      </c>
      <c r="Y268" s="5" t="s">
        <v>480</v>
      </c>
      <c r="Z268" s="5" t="s">
        <v>71</v>
      </c>
      <c r="AA268" s="5" t="s">
        <v>87</v>
      </c>
      <c r="AB268" s="5" t="s">
        <v>88</v>
      </c>
      <c r="AC268" s="5" t="s">
        <v>89</v>
      </c>
      <c r="AD268" s="5" t="s">
        <v>75</v>
      </c>
      <c r="AE268" s="5" t="s">
        <v>124</v>
      </c>
      <c r="AF268" s="6">
        <v>4326</v>
      </c>
      <c r="AG268" s="7">
        <v>1</v>
      </c>
      <c r="AH268" s="6">
        <v>4326</v>
      </c>
      <c r="AI268" s="5" t="s">
        <v>118</v>
      </c>
      <c r="AJ268" s="10">
        <v>45948</v>
      </c>
      <c r="AK268" s="5" t="s">
        <v>1004</v>
      </c>
      <c r="AL268" s="5" t="s">
        <v>79</v>
      </c>
      <c r="AM268" s="5">
        <v>1619409</v>
      </c>
      <c r="AN268" s="5" t="s">
        <v>80</v>
      </c>
      <c r="AO268" s="5">
        <v>1094010</v>
      </c>
      <c r="AP268" s="5" t="s">
        <v>81</v>
      </c>
      <c r="AQ268" s="5" t="s">
        <v>64</v>
      </c>
      <c r="AR268" s="5" t="s">
        <v>162</v>
      </c>
      <c r="AS268" s="5"/>
      <c r="AT268" s="5"/>
      <c r="AU268" s="5"/>
      <c r="AV268" s="5"/>
      <c r="AW268" s="8"/>
      <c r="AX268" t="s">
        <v>1135</v>
      </c>
      <c r="AY268" t="s">
        <v>2152</v>
      </c>
    </row>
    <row r="269" spans="1:51" x14ac:dyDescent="0.35">
      <c r="A269" s="4" t="s">
        <v>772</v>
      </c>
      <c r="B269" s="5" t="s">
        <v>772</v>
      </c>
      <c r="C269" s="5" t="s">
        <v>774</v>
      </c>
      <c r="D269" s="5" t="s">
        <v>50</v>
      </c>
      <c r="E269" s="5" t="s">
        <v>51</v>
      </c>
      <c r="F269" s="5" t="s">
        <v>565</v>
      </c>
      <c r="G269" s="5" t="s">
        <v>53</v>
      </c>
      <c r="H269" s="5" t="s">
        <v>54</v>
      </c>
      <c r="I269" s="5" t="s">
        <v>1005</v>
      </c>
      <c r="J269" s="5" t="s">
        <v>56</v>
      </c>
      <c r="K269" s="5" t="s">
        <v>57</v>
      </c>
      <c r="L269" s="5" t="s">
        <v>58</v>
      </c>
      <c r="M269" s="5" t="s">
        <v>59</v>
      </c>
      <c r="N269" s="5" t="s">
        <v>60</v>
      </c>
      <c r="O269" s="5" t="s">
        <v>60</v>
      </c>
      <c r="P269" s="5" t="s">
        <v>61</v>
      </c>
      <c r="Q269" s="5" t="s">
        <v>62</v>
      </c>
      <c r="R269" s="5" t="s">
        <v>63</v>
      </c>
      <c r="S269" s="5" t="s">
        <v>64</v>
      </c>
      <c r="T269" s="5" t="s">
        <v>65</v>
      </c>
      <c r="U269" s="5" t="s">
        <v>66</v>
      </c>
      <c r="V269" s="5" t="s">
        <v>798</v>
      </c>
      <c r="W269" s="5" t="s">
        <v>930</v>
      </c>
      <c r="X269" s="5" t="s">
        <v>207</v>
      </c>
      <c r="Y269" s="5" t="s">
        <v>800</v>
      </c>
      <c r="Z269" s="5" t="s">
        <v>71</v>
      </c>
      <c r="AA269" s="5" t="s">
        <v>87</v>
      </c>
      <c r="AB269" s="5" t="s">
        <v>88</v>
      </c>
      <c r="AC269" s="5" t="s">
        <v>89</v>
      </c>
      <c r="AD269" s="5" t="s">
        <v>75</v>
      </c>
      <c r="AE269" s="5" t="s">
        <v>124</v>
      </c>
      <c r="AF269" s="6">
        <v>4326</v>
      </c>
      <c r="AG269" s="7">
        <v>1</v>
      </c>
      <c r="AH269" s="6">
        <v>4326</v>
      </c>
      <c r="AI269" s="5" t="s">
        <v>118</v>
      </c>
      <c r="AJ269" s="10">
        <v>45948</v>
      </c>
      <c r="AK269" s="5" t="s">
        <v>1006</v>
      </c>
      <c r="AL269" s="5" t="s">
        <v>79</v>
      </c>
      <c r="AM269" s="5">
        <v>1619409</v>
      </c>
      <c r="AN269" s="5" t="s">
        <v>80</v>
      </c>
      <c r="AO269" s="5">
        <v>1094010</v>
      </c>
      <c r="AP269" s="5" t="s">
        <v>81</v>
      </c>
      <c r="AQ269" s="5" t="s">
        <v>64</v>
      </c>
      <c r="AR269" s="5" t="s">
        <v>207</v>
      </c>
      <c r="AS269" s="5"/>
      <c r="AT269" s="5"/>
      <c r="AU269" s="5"/>
      <c r="AV269" s="5"/>
      <c r="AW269" s="8"/>
      <c r="AX269" t="s">
        <v>1135</v>
      </c>
      <c r="AY269" t="s">
        <v>2152</v>
      </c>
    </row>
    <row r="270" spans="1:51" x14ac:dyDescent="0.35">
      <c r="A270" s="4" t="s">
        <v>772</v>
      </c>
      <c r="B270" s="5" t="s">
        <v>772</v>
      </c>
      <c r="C270" s="5" t="s">
        <v>1007</v>
      </c>
      <c r="D270" s="5" t="s">
        <v>50</v>
      </c>
      <c r="E270" s="5" t="s">
        <v>51</v>
      </c>
      <c r="F270" s="5" t="s">
        <v>565</v>
      </c>
      <c r="G270" s="5" t="s">
        <v>53</v>
      </c>
      <c r="H270" s="5" t="s">
        <v>54</v>
      </c>
      <c r="I270" s="5" t="s">
        <v>1008</v>
      </c>
      <c r="J270" s="5" t="s">
        <v>56</v>
      </c>
      <c r="K270" s="5" t="s">
        <v>57</v>
      </c>
      <c r="L270" s="5" t="s">
        <v>58</v>
      </c>
      <c r="M270" s="5" t="s">
        <v>59</v>
      </c>
      <c r="N270" s="5" t="s">
        <v>60</v>
      </c>
      <c r="O270" s="5" t="s">
        <v>60</v>
      </c>
      <c r="P270" s="5" t="s">
        <v>61</v>
      </c>
      <c r="Q270" s="5" t="s">
        <v>62</v>
      </c>
      <c r="R270" s="5" t="s">
        <v>63</v>
      </c>
      <c r="S270" s="5" t="s">
        <v>64</v>
      </c>
      <c r="T270" s="5" t="s">
        <v>65</v>
      </c>
      <c r="U270" s="5" t="s">
        <v>66</v>
      </c>
      <c r="V270" s="5" t="s">
        <v>660</v>
      </c>
      <c r="W270" s="5" t="s">
        <v>1009</v>
      </c>
      <c r="X270" s="5" t="s">
        <v>110</v>
      </c>
      <c r="Y270" s="5" t="s">
        <v>662</v>
      </c>
      <c r="Z270" s="5" t="s">
        <v>71</v>
      </c>
      <c r="AA270" s="5" t="s">
        <v>87</v>
      </c>
      <c r="AB270" s="5" t="s">
        <v>88</v>
      </c>
      <c r="AC270" s="5" t="s">
        <v>89</v>
      </c>
      <c r="AD270" s="5" t="s">
        <v>75</v>
      </c>
      <c r="AE270" s="5" t="s">
        <v>243</v>
      </c>
      <c r="AF270" s="6">
        <v>4200</v>
      </c>
      <c r="AG270" s="7">
        <v>1</v>
      </c>
      <c r="AH270" s="6">
        <v>4200</v>
      </c>
      <c r="AI270" s="5" t="s">
        <v>1010</v>
      </c>
      <c r="AJ270" s="10">
        <v>45954</v>
      </c>
      <c r="AK270" s="5" t="s">
        <v>1011</v>
      </c>
      <c r="AL270" s="5" t="s">
        <v>79</v>
      </c>
      <c r="AM270" s="5">
        <v>1619409</v>
      </c>
      <c r="AN270" s="5" t="s">
        <v>80</v>
      </c>
      <c r="AO270" s="5">
        <v>1094010</v>
      </c>
      <c r="AP270" s="5" t="s">
        <v>81</v>
      </c>
      <c r="AQ270" s="5" t="s">
        <v>64</v>
      </c>
      <c r="AR270" s="5" t="s">
        <v>110</v>
      </c>
      <c r="AS270" s="5"/>
      <c r="AT270" s="5"/>
      <c r="AU270" s="5"/>
      <c r="AV270" s="5"/>
      <c r="AW270" s="8"/>
      <c r="AX270" t="s">
        <v>1135</v>
      </c>
      <c r="AY270" t="s">
        <v>2152</v>
      </c>
    </row>
    <row r="271" spans="1:51" x14ac:dyDescent="0.35">
      <c r="A271" s="4" t="s">
        <v>772</v>
      </c>
      <c r="B271" s="5" t="s">
        <v>772</v>
      </c>
      <c r="C271" s="5" t="s">
        <v>1007</v>
      </c>
      <c r="D271" s="5" t="s">
        <v>50</v>
      </c>
      <c r="E271" s="5" t="s">
        <v>51</v>
      </c>
      <c r="F271" s="5" t="s">
        <v>565</v>
      </c>
      <c r="G271" s="5" t="s">
        <v>53</v>
      </c>
      <c r="H271" s="5" t="s">
        <v>54</v>
      </c>
      <c r="I271" s="5" t="s">
        <v>1012</v>
      </c>
      <c r="J271" s="5" t="s">
        <v>56</v>
      </c>
      <c r="K271" s="5" t="s">
        <v>57</v>
      </c>
      <c r="L271" s="5" t="s">
        <v>58</v>
      </c>
      <c r="M271" s="5" t="s">
        <v>59</v>
      </c>
      <c r="N271" s="5" t="s">
        <v>60</v>
      </c>
      <c r="O271" s="5" t="s">
        <v>60</v>
      </c>
      <c r="P271" s="5" t="s">
        <v>61</v>
      </c>
      <c r="Q271" s="5" t="s">
        <v>62</v>
      </c>
      <c r="R271" s="5" t="s">
        <v>63</v>
      </c>
      <c r="S271" s="5" t="s">
        <v>64</v>
      </c>
      <c r="T271" s="5" t="s">
        <v>65</v>
      </c>
      <c r="U271" s="5" t="s">
        <v>66</v>
      </c>
      <c r="V271" s="5" t="s">
        <v>535</v>
      </c>
      <c r="W271" s="5" t="s">
        <v>536</v>
      </c>
      <c r="X271" s="5" t="s">
        <v>207</v>
      </c>
      <c r="Y271" s="5" t="s">
        <v>537</v>
      </c>
      <c r="Z271" s="5" t="s">
        <v>71</v>
      </c>
      <c r="AA271" s="5" t="s">
        <v>87</v>
      </c>
      <c r="AB271" s="5" t="s">
        <v>88</v>
      </c>
      <c r="AC271" s="5" t="s">
        <v>89</v>
      </c>
      <c r="AD271" s="5" t="s">
        <v>75</v>
      </c>
      <c r="AE271" s="5" t="s">
        <v>117</v>
      </c>
      <c r="AF271" s="6">
        <v>4326</v>
      </c>
      <c r="AG271" s="7">
        <v>1</v>
      </c>
      <c r="AH271" s="6">
        <v>4326</v>
      </c>
      <c r="AI271" s="5" t="s">
        <v>118</v>
      </c>
      <c r="AJ271" s="10">
        <v>45954</v>
      </c>
      <c r="AK271" s="5" t="s">
        <v>1013</v>
      </c>
      <c r="AL271" s="5" t="s">
        <v>79</v>
      </c>
      <c r="AM271" s="5">
        <v>1619409</v>
      </c>
      <c r="AN271" s="5" t="s">
        <v>80</v>
      </c>
      <c r="AO271" s="5">
        <v>1094010</v>
      </c>
      <c r="AP271" s="5" t="s">
        <v>81</v>
      </c>
      <c r="AQ271" s="5" t="s">
        <v>64</v>
      </c>
      <c r="AR271" s="5" t="s">
        <v>207</v>
      </c>
      <c r="AS271" s="5"/>
      <c r="AT271" s="5"/>
      <c r="AU271" s="5"/>
      <c r="AV271" s="5"/>
      <c r="AW271" s="8"/>
      <c r="AX271" t="s">
        <v>1135</v>
      </c>
      <c r="AY271" t="s">
        <v>2152</v>
      </c>
    </row>
    <row r="272" spans="1:51" x14ac:dyDescent="0.35">
      <c r="A272" s="4" t="s">
        <v>772</v>
      </c>
      <c r="B272" s="5" t="s">
        <v>772</v>
      </c>
      <c r="C272" s="5" t="s">
        <v>1014</v>
      </c>
      <c r="D272" s="5" t="s">
        <v>50</v>
      </c>
      <c r="E272" s="5" t="s">
        <v>51</v>
      </c>
      <c r="F272" s="5" t="s">
        <v>869</v>
      </c>
      <c r="G272" s="5" t="s">
        <v>53</v>
      </c>
      <c r="H272" s="5" t="s">
        <v>54</v>
      </c>
      <c r="I272" s="5" t="s">
        <v>1015</v>
      </c>
      <c r="J272" s="5" t="s">
        <v>56</v>
      </c>
      <c r="K272" s="5" t="s">
        <v>57</v>
      </c>
      <c r="L272" s="5" t="s">
        <v>58</v>
      </c>
      <c r="M272" s="5" t="s">
        <v>59</v>
      </c>
      <c r="N272" s="5" t="s">
        <v>60</v>
      </c>
      <c r="O272" s="5" t="s">
        <v>60</v>
      </c>
      <c r="P272" s="5" t="s">
        <v>61</v>
      </c>
      <c r="Q272" s="5" t="s">
        <v>62</v>
      </c>
      <c r="R272" s="5" t="s">
        <v>63</v>
      </c>
      <c r="S272" s="5" t="s">
        <v>64</v>
      </c>
      <c r="T272" s="5" t="s">
        <v>65</v>
      </c>
      <c r="U272" s="5" t="s">
        <v>66</v>
      </c>
      <c r="V272" s="5" t="s">
        <v>754</v>
      </c>
      <c r="W272" s="5" t="s">
        <v>755</v>
      </c>
      <c r="X272" s="5" t="s">
        <v>129</v>
      </c>
      <c r="Y272" s="5" t="s">
        <v>756</v>
      </c>
      <c r="Z272" s="5" t="s">
        <v>71</v>
      </c>
      <c r="AA272" s="5" t="s">
        <v>87</v>
      </c>
      <c r="AB272" s="5" t="s">
        <v>88</v>
      </c>
      <c r="AC272" s="5" t="s">
        <v>89</v>
      </c>
      <c r="AD272" s="5" t="s">
        <v>75</v>
      </c>
      <c r="AE272" s="5" t="s">
        <v>243</v>
      </c>
      <c r="AF272" s="6">
        <v>4326</v>
      </c>
      <c r="AG272" s="7">
        <v>1</v>
      </c>
      <c r="AH272" s="6">
        <v>4326</v>
      </c>
      <c r="AI272" s="5" t="s">
        <v>352</v>
      </c>
      <c r="AJ272" s="10">
        <v>45955</v>
      </c>
      <c r="AK272" s="5" t="s">
        <v>1016</v>
      </c>
      <c r="AL272" s="5" t="s">
        <v>79</v>
      </c>
      <c r="AM272" s="5">
        <v>1619409</v>
      </c>
      <c r="AN272" s="5" t="s">
        <v>80</v>
      </c>
      <c r="AO272" s="5">
        <v>1094010</v>
      </c>
      <c r="AP272" s="5" t="s">
        <v>81</v>
      </c>
      <c r="AQ272" s="5" t="s">
        <v>64</v>
      </c>
      <c r="AR272" s="5" t="s">
        <v>129</v>
      </c>
      <c r="AS272" s="5"/>
      <c r="AT272" s="5"/>
      <c r="AU272" s="5"/>
      <c r="AV272" s="5"/>
      <c r="AW272" s="8"/>
      <c r="AX272" t="s">
        <v>1135</v>
      </c>
      <c r="AY272" t="s">
        <v>2152</v>
      </c>
    </row>
    <row r="273" spans="1:51" x14ac:dyDescent="0.35">
      <c r="A273" s="4" t="s">
        <v>772</v>
      </c>
      <c r="B273" s="5" t="s">
        <v>772</v>
      </c>
      <c r="C273" s="5" t="s">
        <v>1014</v>
      </c>
      <c r="D273" s="5" t="s">
        <v>50</v>
      </c>
      <c r="E273" s="5" t="s">
        <v>51</v>
      </c>
      <c r="F273" s="5" t="s">
        <v>869</v>
      </c>
      <c r="G273" s="5" t="s">
        <v>53</v>
      </c>
      <c r="H273" s="5" t="s">
        <v>54</v>
      </c>
      <c r="I273" s="5" t="s">
        <v>1015</v>
      </c>
      <c r="J273" s="5" t="s">
        <v>56</v>
      </c>
      <c r="K273" s="5" t="s">
        <v>57</v>
      </c>
      <c r="L273" s="5" t="s">
        <v>58</v>
      </c>
      <c r="M273" s="5" t="s">
        <v>59</v>
      </c>
      <c r="N273" s="5" t="s">
        <v>60</v>
      </c>
      <c r="O273" s="5" t="s">
        <v>60</v>
      </c>
      <c r="P273" s="5" t="s">
        <v>61</v>
      </c>
      <c r="Q273" s="5" t="s">
        <v>62</v>
      </c>
      <c r="R273" s="5" t="s">
        <v>63</v>
      </c>
      <c r="S273" s="5" t="s">
        <v>64</v>
      </c>
      <c r="T273" s="5" t="s">
        <v>65</v>
      </c>
      <c r="U273" s="5" t="s">
        <v>66</v>
      </c>
      <c r="V273" s="5" t="s">
        <v>850</v>
      </c>
      <c r="W273" s="5" t="s">
        <v>1017</v>
      </c>
      <c r="X273" s="5" t="s">
        <v>129</v>
      </c>
      <c r="Y273" s="5" t="s">
        <v>852</v>
      </c>
      <c r="Z273" s="5" t="s">
        <v>71</v>
      </c>
      <c r="AA273" s="5" t="s">
        <v>72</v>
      </c>
      <c r="AB273" s="5" t="s">
        <v>73</v>
      </c>
      <c r="AC273" s="5" t="s">
        <v>74</v>
      </c>
      <c r="AD273" s="5" t="s">
        <v>75</v>
      </c>
      <c r="AE273" s="5" t="s">
        <v>201</v>
      </c>
      <c r="AF273" s="6">
        <v>35818.480000000003</v>
      </c>
      <c r="AG273" s="7">
        <v>1</v>
      </c>
      <c r="AH273" s="6">
        <v>35818.480000000003</v>
      </c>
      <c r="AI273" s="5" t="s">
        <v>134</v>
      </c>
      <c r="AJ273" s="10">
        <v>45955</v>
      </c>
      <c r="AK273" s="5" t="s">
        <v>1016</v>
      </c>
      <c r="AL273" s="5" t="s">
        <v>79</v>
      </c>
      <c r="AM273" s="5">
        <v>1619409</v>
      </c>
      <c r="AN273" s="5" t="s">
        <v>80</v>
      </c>
      <c r="AO273" s="5">
        <v>1094010</v>
      </c>
      <c r="AP273" s="5" t="s">
        <v>81</v>
      </c>
      <c r="AQ273" s="5" t="s">
        <v>64</v>
      </c>
      <c r="AR273" s="5" t="s">
        <v>129</v>
      </c>
      <c r="AS273" s="5"/>
      <c r="AT273" s="5"/>
      <c r="AU273" s="5"/>
      <c r="AV273" s="5"/>
      <c r="AW273" s="8"/>
      <c r="AX273" t="s">
        <v>1135</v>
      </c>
      <c r="AY273" t="s">
        <v>2152</v>
      </c>
    </row>
    <row r="274" spans="1:51" x14ac:dyDescent="0.35">
      <c r="A274" s="4" t="s">
        <v>772</v>
      </c>
      <c r="B274" s="5" t="s">
        <v>772</v>
      </c>
      <c r="C274" s="5" t="s">
        <v>1014</v>
      </c>
      <c r="D274" s="5" t="s">
        <v>50</v>
      </c>
      <c r="E274" s="5" t="s">
        <v>51</v>
      </c>
      <c r="F274" s="5" t="s">
        <v>869</v>
      </c>
      <c r="G274" s="5" t="s">
        <v>53</v>
      </c>
      <c r="H274" s="5" t="s">
        <v>54</v>
      </c>
      <c r="I274" s="5" t="s">
        <v>1018</v>
      </c>
      <c r="J274" s="5" t="s">
        <v>56</v>
      </c>
      <c r="K274" s="5" t="s">
        <v>57</v>
      </c>
      <c r="L274" s="5" t="s">
        <v>58</v>
      </c>
      <c r="M274" s="5" t="s">
        <v>59</v>
      </c>
      <c r="N274" s="5" t="s">
        <v>60</v>
      </c>
      <c r="O274" s="5" t="s">
        <v>60</v>
      </c>
      <c r="P274" s="5" t="s">
        <v>61</v>
      </c>
      <c r="Q274" s="5" t="s">
        <v>62</v>
      </c>
      <c r="R274" s="5" t="s">
        <v>63</v>
      </c>
      <c r="S274" s="5" t="s">
        <v>64</v>
      </c>
      <c r="T274" s="5" t="s">
        <v>65</v>
      </c>
      <c r="U274" s="5" t="s">
        <v>66</v>
      </c>
      <c r="V274" s="5" t="s">
        <v>166</v>
      </c>
      <c r="W274" s="5" t="s">
        <v>470</v>
      </c>
      <c r="X274" s="5" t="s">
        <v>450</v>
      </c>
      <c r="Y274" s="5" t="s">
        <v>169</v>
      </c>
      <c r="Z274" s="5" t="s">
        <v>71</v>
      </c>
      <c r="AA274" s="5" t="s">
        <v>87</v>
      </c>
      <c r="AB274" s="5" t="s">
        <v>104</v>
      </c>
      <c r="AC274" s="5" t="s">
        <v>105</v>
      </c>
      <c r="AD274" s="5" t="s">
        <v>75</v>
      </c>
      <c r="AE274" s="5" t="s">
        <v>170</v>
      </c>
      <c r="AF274" s="6">
        <v>2920</v>
      </c>
      <c r="AG274" s="7">
        <v>1</v>
      </c>
      <c r="AH274" s="6">
        <v>2920</v>
      </c>
      <c r="AI274" s="5" t="s">
        <v>416</v>
      </c>
      <c r="AJ274" s="10">
        <v>45955</v>
      </c>
      <c r="AK274" s="5" t="s">
        <v>1019</v>
      </c>
      <c r="AL274" s="5" t="s">
        <v>79</v>
      </c>
      <c r="AM274" s="5">
        <v>1619409</v>
      </c>
      <c r="AN274" s="5" t="s">
        <v>80</v>
      </c>
      <c r="AO274" s="5">
        <v>1094010</v>
      </c>
      <c r="AP274" s="5" t="s">
        <v>81</v>
      </c>
      <c r="AQ274" s="5" t="s">
        <v>64</v>
      </c>
      <c r="AR274" s="5" t="s">
        <v>450</v>
      </c>
      <c r="AS274" s="5"/>
      <c r="AT274" s="5"/>
      <c r="AU274" s="5"/>
      <c r="AV274" s="5"/>
      <c r="AW274" s="8"/>
      <c r="AX274" t="s">
        <v>1135</v>
      </c>
      <c r="AY274" t="s">
        <v>2152</v>
      </c>
    </row>
    <row r="275" spans="1:51" x14ac:dyDescent="0.35">
      <c r="A275" s="4" t="s">
        <v>772</v>
      </c>
      <c r="B275" s="5" t="s">
        <v>772</v>
      </c>
      <c r="C275" s="5" t="s">
        <v>1014</v>
      </c>
      <c r="D275" s="5" t="s">
        <v>50</v>
      </c>
      <c r="E275" s="5" t="s">
        <v>51</v>
      </c>
      <c r="F275" s="5" t="s">
        <v>869</v>
      </c>
      <c r="G275" s="5" t="s">
        <v>53</v>
      </c>
      <c r="H275" s="5" t="s">
        <v>54</v>
      </c>
      <c r="I275" s="5" t="s">
        <v>1020</v>
      </c>
      <c r="J275" s="5" t="s">
        <v>56</v>
      </c>
      <c r="K275" s="5" t="s">
        <v>57</v>
      </c>
      <c r="L275" s="5" t="s">
        <v>58</v>
      </c>
      <c r="M275" s="5" t="s">
        <v>59</v>
      </c>
      <c r="N275" s="5" t="s">
        <v>60</v>
      </c>
      <c r="O275" s="5" t="s">
        <v>60</v>
      </c>
      <c r="P275" s="5" t="s">
        <v>61</v>
      </c>
      <c r="Q275" s="5" t="s">
        <v>62</v>
      </c>
      <c r="R275" s="5" t="s">
        <v>63</v>
      </c>
      <c r="S275" s="5" t="s">
        <v>64</v>
      </c>
      <c r="T275" s="5" t="s">
        <v>65</v>
      </c>
      <c r="U275" s="5" t="s">
        <v>66</v>
      </c>
      <c r="V275" s="5" t="s">
        <v>417</v>
      </c>
      <c r="W275" s="5" t="s">
        <v>1021</v>
      </c>
      <c r="X275" s="5" t="s">
        <v>645</v>
      </c>
      <c r="Y275" s="5" t="s">
        <v>419</v>
      </c>
      <c r="Z275" s="5" t="s">
        <v>71</v>
      </c>
      <c r="AA275" s="5" t="s">
        <v>72</v>
      </c>
      <c r="AB275" s="5" t="s">
        <v>131</v>
      </c>
      <c r="AC275" s="5" t="s">
        <v>132</v>
      </c>
      <c r="AD275" s="5" t="s">
        <v>75</v>
      </c>
      <c r="AE275" s="5" t="s">
        <v>420</v>
      </c>
      <c r="AF275" s="6">
        <v>16500</v>
      </c>
      <c r="AG275" s="7">
        <v>1</v>
      </c>
      <c r="AH275" s="6">
        <v>16500</v>
      </c>
      <c r="AI275" s="5" t="s">
        <v>844</v>
      </c>
      <c r="AJ275" s="10">
        <v>45955</v>
      </c>
      <c r="AK275" s="5" t="s">
        <v>1022</v>
      </c>
      <c r="AL275" s="5" t="s">
        <v>79</v>
      </c>
      <c r="AM275" s="5">
        <v>1619409</v>
      </c>
      <c r="AN275" s="5" t="s">
        <v>80</v>
      </c>
      <c r="AO275" s="5">
        <v>1094010</v>
      </c>
      <c r="AP275" s="5" t="s">
        <v>81</v>
      </c>
      <c r="AQ275" s="5" t="s">
        <v>64</v>
      </c>
      <c r="AR275" s="5" t="s">
        <v>645</v>
      </c>
      <c r="AS275" s="5"/>
      <c r="AT275" s="5"/>
      <c r="AU275" s="5"/>
      <c r="AV275" s="5"/>
      <c r="AW275" s="8"/>
      <c r="AX275" t="s">
        <v>1135</v>
      </c>
      <c r="AY275" t="s">
        <v>2152</v>
      </c>
    </row>
    <row r="276" spans="1:51" x14ac:dyDescent="0.35">
      <c r="A276" s="4" t="s">
        <v>772</v>
      </c>
      <c r="B276" s="5" t="s">
        <v>772</v>
      </c>
      <c r="C276" s="5" t="s">
        <v>1014</v>
      </c>
      <c r="D276" s="5" t="s">
        <v>50</v>
      </c>
      <c r="E276" s="5" t="s">
        <v>51</v>
      </c>
      <c r="F276" s="5" t="s">
        <v>869</v>
      </c>
      <c r="G276" s="5" t="s">
        <v>53</v>
      </c>
      <c r="H276" s="5" t="s">
        <v>54</v>
      </c>
      <c r="I276" s="5" t="s">
        <v>1020</v>
      </c>
      <c r="J276" s="5" t="s">
        <v>56</v>
      </c>
      <c r="K276" s="5" t="s">
        <v>57</v>
      </c>
      <c r="L276" s="5" t="s">
        <v>58</v>
      </c>
      <c r="M276" s="5" t="s">
        <v>59</v>
      </c>
      <c r="N276" s="5" t="s">
        <v>60</v>
      </c>
      <c r="O276" s="5" t="s">
        <v>60</v>
      </c>
      <c r="P276" s="5" t="s">
        <v>61</v>
      </c>
      <c r="Q276" s="5" t="s">
        <v>62</v>
      </c>
      <c r="R276" s="5" t="s">
        <v>63</v>
      </c>
      <c r="S276" s="5" t="s">
        <v>64</v>
      </c>
      <c r="T276" s="5" t="s">
        <v>65</v>
      </c>
      <c r="U276" s="5" t="s">
        <v>66</v>
      </c>
      <c r="V276" s="5" t="s">
        <v>472</v>
      </c>
      <c r="W276" s="5" t="s">
        <v>496</v>
      </c>
      <c r="X276" s="5" t="s">
        <v>207</v>
      </c>
      <c r="Y276" s="5" t="s">
        <v>474</v>
      </c>
      <c r="Z276" s="5" t="s">
        <v>71</v>
      </c>
      <c r="AA276" s="5" t="s">
        <v>87</v>
      </c>
      <c r="AB276" s="5" t="s">
        <v>88</v>
      </c>
      <c r="AC276" s="5" t="s">
        <v>89</v>
      </c>
      <c r="AD276" s="5" t="s">
        <v>75</v>
      </c>
      <c r="AE276" s="5" t="s">
        <v>124</v>
      </c>
      <c r="AF276" s="6">
        <v>4326</v>
      </c>
      <c r="AG276" s="7">
        <v>1</v>
      </c>
      <c r="AH276" s="6">
        <v>4326</v>
      </c>
      <c r="AI276" s="5" t="s">
        <v>118</v>
      </c>
      <c r="AJ276" s="10">
        <v>45955</v>
      </c>
      <c r="AK276" s="5" t="s">
        <v>1022</v>
      </c>
      <c r="AL276" s="5" t="s">
        <v>79</v>
      </c>
      <c r="AM276" s="5">
        <v>1619409</v>
      </c>
      <c r="AN276" s="5" t="s">
        <v>80</v>
      </c>
      <c r="AO276" s="5">
        <v>1094010</v>
      </c>
      <c r="AP276" s="5" t="s">
        <v>81</v>
      </c>
      <c r="AQ276" s="5" t="s">
        <v>64</v>
      </c>
      <c r="AR276" s="5" t="s">
        <v>207</v>
      </c>
      <c r="AS276" s="5"/>
      <c r="AT276" s="5"/>
      <c r="AU276" s="5"/>
      <c r="AV276" s="5"/>
      <c r="AW276" s="8"/>
      <c r="AX276" t="s">
        <v>1135</v>
      </c>
      <c r="AY276" t="s">
        <v>2152</v>
      </c>
    </row>
    <row r="277" spans="1:51" x14ac:dyDescent="0.35">
      <c r="A277" s="4" t="s">
        <v>772</v>
      </c>
      <c r="B277" s="5" t="s">
        <v>772</v>
      </c>
      <c r="C277" s="5" t="s">
        <v>1014</v>
      </c>
      <c r="D277" s="5" t="s">
        <v>50</v>
      </c>
      <c r="E277" s="5" t="s">
        <v>51</v>
      </c>
      <c r="F277" s="5" t="s">
        <v>869</v>
      </c>
      <c r="G277" s="5" t="s">
        <v>53</v>
      </c>
      <c r="H277" s="5" t="s">
        <v>54</v>
      </c>
      <c r="I277" s="5" t="s">
        <v>1023</v>
      </c>
      <c r="J277" s="5" t="s">
        <v>56</v>
      </c>
      <c r="K277" s="5" t="s">
        <v>57</v>
      </c>
      <c r="L277" s="5" t="s">
        <v>58</v>
      </c>
      <c r="M277" s="5" t="s">
        <v>59</v>
      </c>
      <c r="N277" s="5" t="s">
        <v>60</v>
      </c>
      <c r="O277" s="5" t="s">
        <v>60</v>
      </c>
      <c r="P277" s="5" t="s">
        <v>61</v>
      </c>
      <c r="Q277" s="5" t="s">
        <v>62</v>
      </c>
      <c r="R277" s="5" t="s">
        <v>63</v>
      </c>
      <c r="S277" s="5" t="s">
        <v>64</v>
      </c>
      <c r="T277" s="5" t="s">
        <v>65</v>
      </c>
      <c r="U277" s="5" t="s">
        <v>66</v>
      </c>
      <c r="V277" s="5" t="s">
        <v>490</v>
      </c>
      <c r="W277" s="5" t="s">
        <v>974</v>
      </c>
      <c r="X277" s="5" t="s">
        <v>450</v>
      </c>
      <c r="Y277" s="5" t="s">
        <v>493</v>
      </c>
      <c r="Z277" s="5" t="s">
        <v>71</v>
      </c>
      <c r="AA277" s="5" t="s">
        <v>87</v>
      </c>
      <c r="AB277" s="5" t="s">
        <v>104</v>
      </c>
      <c r="AC277" s="5" t="s">
        <v>105</v>
      </c>
      <c r="AD277" s="5" t="s">
        <v>75</v>
      </c>
      <c r="AE277" s="5" t="s">
        <v>170</v>
      </c>
      <c r="AF277" s="6">
        <v>2920</v>
      </c>
      <c r="AG277" s="7">
        <v>1</v>
      </c>
      <c r="AH277" s="6">
        <v>2920</v>
      </c>
      <c r="AI277" s="5" t="s">
        <v>154</v>
      </c>
      <c r="AJ277" s="10">
        <v>45955</v>
      </c>
      <c r="AK277" s="5" t="s">
        <v>1024</v>
      </c>
      <c r="AL277" s="5" t="s">
        <v>79</v>
      </c>
      <c r="AM277" s="5">
        <v>1619409</v>
      </c>
      <c r="AN277" s="5" t="s">
        <v>80</v>
      </c>
      <c r="AO277" s="5">
        <v>1094010</v>
      </c>
      <c r="AP277" s="5" t="s">
        <v>81</v>
      </c>
      <c r="AQ277" s="5" t="s">
        <v>64</v>
      </c>
      <c r="AR277" s="5" t="s">
        <v>450</v>
      </c>
      <c r="AS277" s="5"/>
      <c r="AT277" s="5"/>
      <c r="AU277" s="5"/>
      <c r="AV277" s="5"/>
      <c r="AW277" s="8"/>
      <c r="AX277" t="s">
        <v>1135</v>
      </c>
      <c r="AY277" t="s">
        <v>2152</v>
      </c>
    </row>
    <row r="278" spans="1:51" x14ac:dyDescent="0.35">
      <c r="A278" s="4" t="s">
        <v>772</v>
      </c>
      <c r="B278" s="5" t="s">
        <v>772</v>
      </c>
      <c r="C278" s="5" t="s">
        <v>1014</v>
      </c>
      <c r="D278" s="5" t="s">
        <v>50</v>
      </c>
      <c r="E278" s="5" t="s">
        <v>51</v>
      </c>
      <c r="F278" s="5" t="s">
        <v>869</v>
      </c>
      <c r="G278" s="5" t="s">
        <v>53</v>
      </c>
      <c r="H278" s="5" t="s">
        <v>54</v>
      </c>
      <c r="I278" s="5" t="s">
        <v>1025</v>
      </c>
      <c r="J278" s="5" t="s">
        <v>56</v>
      </c>
      <c r="K278" s="5" t="s">
        <v>57</v>
      </c>
      <c r="L278" s="5" t="s">
        <v>58</v>
      </c>
      <c r="M278" s="5" t="s">
        <v>59</v>
      </c>
      <c r="N278" s="5" t="s">
        <v>60</v>
      </c>
      <c r="O278" s="5" t="s">
        <v>60</v>
      </c>
      <c r="P278" s="5" t="s">
        <v>61</v>
      </c>
      <c r="Q278" s="5" t="s">
        <v>62</v>
      </c>
      <c r="R278" s="5" t="s">
        <v>63</v>
      </c>
      <c r="S278" s="5" t="s">
        <v>64</v>
      </c>
      <c r="T278" s="5" t="s">
        <v>65</v>
      </c>
      <c r="U278" s="5" t="s">
        <v>66</v>
      </c>
      <c r="V278" s="5" t="s">
        <v>490</v>
      </c>
      <c r="W278" s="5" t="s">
        <v>974</v>
      </c>
      <c r="X278" s="5" t="s">
        <v>450</v>
      </c>
      <c r="Y278" s="5" t="s">
        <v>493</v>
      </c>
      <c r="Z278" s="5" t="s">
        <v>71</v>
      </c>
      <c r="AA278" s="5" t="s">
        <v>87</v>
      </c>
      <c r="AB278" s="5" t="s">
        <v>104</v>
      </c>
      <c r="AC278" s="5" t="s">
        <v>105</v>
      </c>
      <c r="AD278" s="5" t="s">
        <v>75</v>
      </c>
      <c r="AE278" s="5" t="s">
        <v>170</v>
      </c>
      <c r="AF278" s="6">
        <v>2920</v>
      </c>
      <c r="AG278" s="7">
        <v>1</v>
      </c>
      <c r="AH278" s="6">
        <v>2920</v>
      </c>
      <c r="AI278" s="5" t="s">
        <v>154</v>
      </c>
      <c r="AJ278" s="10">
        <v>45955</v>
      </c>
      <c r="AK278" s="5" t="s">
        <v>1026</v>
      </c>
      <c r="AL278" s="5" t="s">
        <v>79</v>
      </c>
      <c r="AM278" s="5">
        <v>1619409</v>
      </c>
      <c r="AN278" s="5" t="s">
        <v>80</v>
      </c>
      <c r="AO278" s="5">
        <v>1094010</v>
      </c>
      <c r="AP278" s="5" t="s">
        <v>81</v>
      </c>
      <c r="AQ278" s="5" t="s">
        <v>64</v>
      </c>
      <c r="AR278" s="5" t="s">
        <v>450</v>
      </c>
      <c r="AS278" s="5"/>
      <c r="AT278" s="5"/>
      <c r="AU278" s="5"/>
      <c r="AV278" s="5"/>
      <c r="AW278" s="8"/>
      <c r="AX278" t="s">
        <v>1135</v>
      </c>
      <c r="AY278" t="s">
        <v>2152</v>
      </c>
    </row>
    <row r="279" spans="1:51" x14ac:dyDescent="0.35">
      <c r="A279" s="4" t="s">
        <v>772</v>
      </c>
      <c r="B279" s="5" t="s">
        <v>772</v>
      </c>
      <c r="C279" s="5" t="s">
        <v>932</v>
      </c>
      <c r="D279" s="5" t="s">
        <v>50</v>
      </c>
      <c r="E279" s="5" t="s">
        <v>51</v>
      </c>
      <c r="F279" s="5" t="s">
        <v>869</v>
      </c>
      <c r="G279" s="5" t="s">
        <v>53</v>
      </c>
      <c r="H279" s="5" t="s">
        <v>54</v>
      </c>
      <c r="I279" s="5" t="s">
        <v>1027</v>
      </c>
      <c r="J279" s="5" t="s">
        <v>56</v>
      </c>
      <c r="K279" s="5" t="s">
        <v>57</v>
      </c>
      <c r="L279" s="5" t="s">
        <v>58</v>
      </c>
      <c r="M279" s="5" t="s">
        <v>59</v>
      </c>
      <c r="N279" s="5" t="s">
        <v>60</v>
      </c>
      <c r="O279" s="5" t="s">
        <v>60</v>
      </c>
      <c r="P279" s="5" t="s">
        <v>61</v>
      </c>
      <c r="Q279" s="5" t="s">
        <v>62</v>
      </c>
      <c r="R279" s="5" t="s">
        <v>63</v>
      </c>
      <c r="S279" s="5" t="s">
        <v>64</v>
      </c>
      <c r="T279" s="5" t="s">
        <v>65</v>
      </c>
      <c r="U279" s="5" t="s">
        <v>66</v>
      </c>
      <c r="V279" s="5" t="s">
        <v>1028</v>
      </c>
      <c r="W279" s="5" t="s">
        <v>1029</v>
      </c>
      <c r="X279" s="5" t="s">
        <v>69</v>
      </c>
      <c r="Y279" s="5" t="s">
        <v>1030</v>
      </c>
      <c r="Z279" s="5" t="s">
        <v>71</v>
      </c>
      <c r="AA279" s="5" t="s">
        <v>72</v>
      </c>
      <c r="AB279" s="5" t="s">
        <v>73</v>
      </c>
      <c r="AC279" s="5" t="s">
        <v>74</v>
      </c>
      <c r="AD279" s="5" t="s">
        <v>75</v>
      </c>
      <c r="AE279" s="5" t="s">
        <v>258</v>
      </c>
      <c r="AF279" s="6">
        <v>35818.480000000003</v>
      </c>
      <c r="AG279" s="7">
        <v>1</v>
      </c>
      <c r="AH279" s="6">
        <v>35818.480000000003</v>
      </c>
      <c r="AI279" s="5" t="s">
        <v>1031</v>
      </c>
      <c r="AJ279" s="10">
        <v>45957</v>
      </c>
      <c r="AK279" s="5" t="s">
        <v>1032</v>
      </c>
      <c r="AL279" s="5" t="s">
        <v>79</v>
      </c>
      <c r="AM279" s="5">
        <v>1619409</v>
      </c>
      <c r="AN279" s="5" t="s">
        <v>80</v>
      </c>
      <c r="AO279" s="5">
        <v>1094010</v>
      </c>
      <c r="AP279" s="5" t="s">
        <v>81</v>
      </c>
      <c r="AQ279" s="5" t="s">
        <v>64</v>
      </c>
      <c r="AR279" s="5" t="s">
        <v>69</v>
      </c>
      <c r="AS279" s="5"/>
      <c r="AT279" s="5"/>
      <c r="AU279" s="5"/>
      <c r="AV279" s="5"/>
      <c r="AW279" s="8"/>
      <c r="AX279" t="s">
        <v>1135</v>
      </c>
      <c r="AY279" t="s">
        <v>2152</v>
      </c>
    </row>
    <row r="280" spans="1:51" x14ac:dyDescent="0.35">
      <c r="A280" s="4" t="s">
        <v>772</v>
      </c>
      <c r="B280" s="5" t="s">
        <v>772</v>
      </c>
      <c r="C280" s="5" t="s">
        <v>932</v>
      </c>
      <c r="D280" s="5" t="s">
        <v>50</v>
      </c>
      <c r="E280" s="5" t="s">
        <v>51</v>
      </c>
      <c r="F280" s="5" t="s">
        <v>869</v>
      </c>
      <c r="G280" s="5" t="s">
        <v>53</v>
      </c>
      <c r="H280" s="5" t="s">
        <v>54</v>
      </c>
      <c r="I280" s="5" t="s">
        <v>1027</v>
      </c>
      <c r="J280" s="5" t="s">
        <v>56</v>
      </c>
      <c r="K280" s="5" t="s">
        <v>57</v>
      </c>
      <c r="L280" s="5" t="s">
        <v>58</v>
      </c>
      <c r="M280" s="5" t="s">
        <v>59</v>
      </c>
      <c r="N280" s="5" t="s">
        <v>60</v>
      </c>
      <c r="O280" s="5" t="s">
        <v>60</v>
      </c>
      <c r="P280" s="5" t="s">
        <v>61</v>
      </c>
      <c r="Q280" s="5" t="s">
        <v>62</v>
      </c>
      <c r="R280" s="5" t="s">
        <v>63</v>
      </c>
      <c r="S280" s="5" t="s">
        <v>64</v>
      </c>
      <c r="T280" s="5" t="s">
        <v>65</v>
      </c>
      <c r="U280" s="5" t="s">
        <v>66</v>
      </c>
      <c r="V280" s="5" t="s">
        <v>301</v>
      </c>
      <c r="W280" s="5" t="s">
        <v>1033</v>
      </c>
      <c r="X280" s="5" t="s">
        <v>645</v>
      </c>
      <c r="Y280" s="5" t="s">
        <v>303</v>
      </c>
      <c r="Z280" s="5" t="s">
        <v>71</v>
      </c>
      <c r="AA280" s="5" t="s">
        <v>72</v>
      </c>
      <c r="AB280" s="5" t="s">
        <v>73</v>
      </c>
      <c r="AC280" s="5" t="s">
        <v>74</v>
      </c>
      <c r="AD280" s="5" t="s">
        <v>75</v>
      </c>
      <c r="AE280" s="5" t="s">
        <v>223</v>
      </c>
      <c r="AF280" s="6">
        <v>35818.480000000003</v>
      </c>
      <c r="AG280" s="7">
        <v>1</v>
      </c>
      <c r="AH280" s="6">
        <v>35818.480000000003</v>
      </c>
      <c r="AI280" s="5" t="s">
        <v>1034</v>
      </c>
      <c r="AJ280" s="10">
        <v>45957</v>
      </c>
      <c r="AK280" s="5" t="s">
        <v>1032</v>
      </c>
      <c r="AL280" s="5" t="s">
        <v>79</v>
      </c>
      <c r="AM280" s="5">
        <v>1619409</v>
      </c>
      <c r="AN280" s="5" t="s">
        <v>80</v>
      </c>
      <c r="AO280" s="5">
        <v>1094010</v>
      </c>
      <c r="AP280" s="5" t="s">
        <v>81</v>
      </c>
      <c r="AQ280" s="5" t="s">
        <v>64</v>
      </c>
      <c r="AR280" s="5" t="s">
        <v>645</v>
      </c>
      <c r="AS280" s="5"/>
      <c r="AT280" s="5"/>
      <c r="AU280" s="5"/>
      <c r="AV280" s="5"/>
      <c r="AW280" s="8"/>
      <c r="AX280" t="s">
        <v>1135</v>
      </c>
      <c r="AY280" t="s">
        <v>2152</v>
      </c>
    </row>
    <row r="281" spans="1:51" x14ac:dyDescent="0.35">
      <c r="A281" s="4" t="s">
        <v>772</v>
      </c>
      <c r="B281" s="5" t="s">
        <v>772</v>
      </c>
      <c r="C281" s="5" t="s">
        <v>932</v>
      </c>
      <c r="D281" s="5" t="s">
        <v>50</v>
      </c>
      <c r="E281" s="5" t="s">
        <v>51</v>
      </c>
      <c r="F281" s="5" t="s">
        <v>869</v>
      </c>
      <c r="G281" s="5" t="s">
        <v>53</v>
      </c>
      <c r="H281" s="5" t="s">
        <v>54</v>
      </c>
      <c r="I281" s="5" t="s">
        <v>1035</v>
      </c>
      <c r="J281" s="5" t="s">
        <v>56</v>
      </c>
      <c r="K281" s="5" t="s">
        <v>57</v>
      </c>
      <c r="L281" s="5" t="s">
        <v>58</v>
      </c>
      <c r="M281" s="5" t="s">
        <v>59</v>
      </c>
      <c r="N281" s="5" t="s">
        <v>60</v>
      </c>
      <c r="O281" s="5" t="s">
        <v>60</v>
      </c>
      <c r="P281" s="5" t="s">
        <v>61</v>
      </c>
      <c r="Q281" s="5" t="s">
        <v>62</v>
      </c>
      <c r="R281" s="5" t="s">
        <v>63</v>
      </c>
      <c r="S281" s="5" t="s">
        <v>64</v>
      </c>
      <c r="T281" s="5" t="s">
        <v>65</v>
      </c>
      <c r="U281" s="5" t="s">
        <v>66</v>
      </c>
      <c r="V281" s="5" t="s">
        <v>329</v>
      </c>
      <c r="W281" s="5" t="s">
        <v>330</v>
      </c>
      <c r="X281" s="5" t="s">
        <v>129</v>
      </c>
      <c r="Y281" s="5" t="s">
        <v>331</v>
      </c>
      <c r="Z281" s="5" t="s">
        <v>71</v>
      </c>
      <c r="AA281" s="5" t="s">
        <v>87</v>
      </c>
      <c r="AB281" s="5" t="s">
        <v>88</v>
      </c>
      <c r="AC281" s="5" t="s">
        <v>89</v>
      </c>
      <c r="AD281" s="5" t="s">
        <v>75</v>
      </c>
      <c r="AE281" s="5" t="s">
        <v>90</v>
      </c>
      <c r="AF281" s="6">
        <v>4326</v>
      </c>
      <c r="AG281" s="7">
        <v>1</v>
      </c>
      <c r="AH281" s="6">
        <v>4326</v>
      </c>
      <c r="AI281" s="5" t="s">
        <v>118</v>
      </c>
      <c r="AJ281" s="10">
        <v>45957</v>
      </c>
      <c r="AK281" s="5" t="s">
        <v>1036</v>
      </c>
      <c r="AL281" s="5" t="s">
        <v>79</v>
      </c>
      <c r="AM281" s="5">
        <v>1619409</v>
      </c>
      <c r="AN281" s="5" t="s">
        <v>80</v>
      </c>
      <c r="AO281" s="5">
        <v>1094010</v>
      </c>
      <c r="AP281" s="5" t="s">
        <v>81</v>
      </c>
      <c r="AQ281" s="5" t="s">
        <v>64</v>
      </c>
      <c r="AR281" s="5" t="s">
        <v>129</v>
      </c>
      <c r="AS281" s="5"/>
      <c r="AT281" s="5"/>
      <c r="AU281" s="5"/>
      <c r="AV281" s="5"/>
      <c r="AW281" s="8"/>
      <c r="AX281" t="s">
        <v>1135</v>
      </c>
      <c r="AY281" t="s">
        <v>2152</v>
      </c>
    </row>
    <row r="282" spans="1:51" x14ac:dyDescent="0.35">
      <c r="A282" s="4" t="s">
        <v>772</v>
      </c>
      <c r="B282" s="5" t="s">
        <v>772</v>
      </c>
      <c r="C282" s="5" t="s">
        <v>932</v>
      </c>
      <c r="D282" s="5" t="s">
        <v>50</v>
      </c>
      <c r="E282" s="5" t="s">
        <v>51</v>
      </c>
      <c r="F282" s="5" t="s">
        <v>869</v>
      </c>
      <c r="G282" s="5" t="s">
        <v>53</v>
      </c>
      <c r="H282" s="5" t="s">
        <v>54</v>
      </c>
      <c r="I282" s="5" t="s">
        <v>1037</v>
      </c>
      <c r="J282" s="5" t="s">
        <v>56</v>
      </c>
      <c r="K282" s="5" t="s">
        <v>57</v>
      </c>
      <c r="L282" s="5" t="s">
        <v>58</v>
      </c>
      <c r="M282" s="5" t="s">
        <v>59</v>
      </c>
      <c r="N282" s="5" t="s">
        <v>60</v>
      </c>
      <c r="O282" s="5" t="s">
        <v>60</v>
      </c>
      <c r="P282" s="5" t="s">
        <v>61</v>
      </c>
      <c r="Q282" s="5" t="s">
        <v>62</v>
      </c>
      <c r="R282" s="5" t="s">
        <v>63</v>
      </c>
      <c r="S282" s="5" t="s">
        <v>64</v>
      </c>
      <c r="T282" s="5" t="s">
        <v>65</v>
      </c>
      <c r="U282" s="5" t="s">
        <v>66</v>
      </c>
      <c r="V282" s="5" t="s">
        <v>166</v>
      </c>
      <c r="W282" s="5" t="s">
        <v>1038</v>
      </c>
      <c r="X282" s="5" t="s">
        <v>706</v>
      </c>
      <c r="Y282" s="5" t="s">
        <v>169</v>
      </c>
      <c r="Z282" s="5" t="s">
        <v>71</v>
      </c>
      <c r="AA282" s="5" t="s">
        <v>87</v>
      </c>
      <c r="AB282" s="5" t="s">
        <v>104</v>
      </c>
      <c r="AC282" s="5" t="s">
        <v>105</v>
      </c>
      <c r="AD282" s="5" t="s">
        <v>75</v>
      </c>
      <c r="AE282" s="5" t="s">
        <v>170</v>
      </c>
      <c r="AF282" s="6">
        <v>2920</v>
      </c>
      <c r="AG282" s="7">
        <v>1</v>
      </c>
      <c r="AH282" s="6">
        <v>2920</v>
      </c>
      <c r="AI282" s="5" t="s">
        <v>836</v>
      </c>
      <c r="AJ282" s="10">
        <v>45957</v>
      </c>
      <c r="AK282" s="5" t="s">
        <v>1039</v>
      </c>
      <c r="AL282" s="5" t="s">
        <v>79</v>
      </c>
      <c r="AM282" s="5">
        <v>1619409</v>
      </c>
      <c r="AN282" s="5" t="s">
        <v>80</v>
      </c>
      <c r="AO282" s="5">
        <v>1094010</v>
      </c>
      <c r="AP282" s="5" t="s">
        <v>81</v>
      </c>
      <c r="AQ282" s="5" t="s">
        <v>64</v>
      </c>
      <c r="AR282" s="5" t="s">
        <v>706</v>
      </c>
      <c r="AS282" s="5"/>
      <c r="AT282" s="5"/>
      <c r="AU282" s="5"/>
      <c r="AV282" s="5"/>
      <c r="AW282" s="8"/>
      <c r="AX282" t="s">
        <v>1135</v>
      </c>
      <c r="AY282" t="s">
        <v>2152</v>
      </c>
    </row>
    <row r="283" spans="1:51" x14ac:dyDescent="0.35">
      <c r="A283" s="4" t="s">
        <v>772</v>
      </c>
      <c r="B283" s="5" t="s">
        <v>772</v>
      </c>
      <c r="C283" s="5" t="s">
        <v>932</v>
      </c>
      <c r="D283" s="5" t="s">
        <v>50</v>
      </c>
      <c r="E283" s="5" t="s">
        <v>51</v>
      </c>
      <c r="F283" s="5" t="s">
        <v>869</v>
      </c>
      <c r="G283" s="5" t="s">
        <v>53</v>
      </c>
      <c r="H283" s="5" t="s">
        <v>54</v>
      </c>
      <c r="I283" s="5" t="s">
        <v>1040</v>
      </c>
      <c r="J283" s="5" t="s">
        <v>56</v>
      </c>
      <c r="K283" s="5" t="s">
        <v>57</v>
      </c>
      <c r="L283" s="5" t="s">
        <v>58</v>
      </c>
      <c r="M283" s="5" t="s">
        <v>59</v>
      </c>
      <c r="N283" s="5" t="s">
        <v>60</v>
      </c>
      <c r="O283" s="5" t="s">
        <v>60</v>
      </c>
      <c r="P283" s="5" t="s">
        <v>61</v>
      </c>
      <c r="Q283" s="5" t="s">
        <v>62</v>
      </c>
      <c r="R283" s="5" t="s">
        <v>63</v>
      </c>
      <c r="S283" s="5" t="s">
        <v>64</v>
      </c>
      <c r="T283" s="5" t="s">
        <v>65</v>
      </c>
      <c r="U283" s="5" t="s">
        <v>66</v>
      </c>
      <c r="V283" s="5" t="s">
        <v>472</v>
      </c>
      <c r="W283" s="5" t="s">
        <v>496</v>
      </c>
      <c r="X283" s="5" t="s">
        <v>207</v>
      </c>
      <c r="Y283" s="5" t="s">
        <v>474</v>
      </c>
      <c r="Z283" s="5" t="s">
        <v>71</v>
      </c>
      <c r="AA283" s="5" t="s">
        <v>87</v>
      </c>
      <c r="AB283" s="5" t="s">
        <v>88</v>
      </c>
      <c r="AC283" s="5" t="s">
        <v>89</v>
      </c>
      <c r="AD283" s="5" t="s">
        <v>75</v>
      </c>
      <c r="AE283" s="5" t="s">
        <v>124</v>
      </c>
      <c r="AF283" s="6">
        <v>4326</v>
      </c>
      <c r="AG283" s="7">
        <v>1</v>
      </c>
      <c r="AH283" s="6">
        <v>4326</v>
      </c>
      <c r="AI283" s="5" t="s">
        <v>118</v>
      </c>
      <c r="AJ283" s="10">
        <v>45957</v>
      </c>
      <c r="AK283" s="5" t="s">
        <v>1041</v>
      </c>
      <c r="AL283" s="5" t="s">
        <v>79</v>
      </c>
      <c r="AM283" s="5">
        <v>1619409</v>
      </c>
      <c r="AN283" s="5" t="s">
        <v>80</v>
      </c>
      <c r="AO283" s="5">
        <v>1094010</v>
      </c>
      <c r="AP283" s="5" t="s">
        <v>81</v>
      </c>
      <c r="AQ283" s="5" t="s">
        <v>64</v>
      </c>
      <c r="AR283" s="5" t="s">
        <v>207</v>
      </c>
      <c r="AS283" s="5"/>
      <c r="AT283" s="5"/>
      <c r="AU283" s="5"/>
      <c r="AV283" s="5"/>
      <c r="AW283" s="8"/>
      <c r="AX283" t="s">
        <v>1135</v>
      </c>
      <c r="AY283" t="s">
        <v>2152</v>
      </c>
    </row>
    <row r="284" spans="1:51" x14ac:dyDescent="0.35">
      <c r="A284" s="4" t="s">
        <v>772</v>
      </c>
      <c r="B284" s="5" t="s">
        <v>772</v>
      </c>
      <c r="C284" s="5" t="s">
        <v>1042</v>
      </c>
      <c r="D284" s="5" t="s">
        <v>50</v>
      </c>
      <c r="E284" s="5" t="s">
        <v>51</v>
      </c>
      <c r="F284" s="5" t="s">
        <v>1043</v>
      </c>
      <c r="G284" s="5" t="s">
        <v>53</v>
      </c>
      <c r="H284" s="5" t="s">
        <v>54</v>
      </c>
      <c r="I284" s="5" t="s">
        <v>1044</v>
      </c>
      <c r="J284" s="5" t="s">
        <v>56</v>
      </c>
      <c r="K284" s="5" t="s">
        <v>57</v>
      </c>
      <c r="L284" s="5" t="s">
        <v>58</v>
      </c>
      <c r="M284" s="5"/>
      <c r="N284" s="5" t="s">
        <v>60</v>
      </c>
      <c r="O284" s="5" t="s">
        <v>60</v>
      </c>
      <c r="P284" s="5" t="s">
        <v>61</v>
      </c>
      <c r="Q284" s="5" t="s">
        <v>62</v>
      </c>
      <c r="R284" s="5" t="s">
        <v>63</v>
      </c>
      <c r="S284" s="5" t="s">
        <v>64</v>
      </c>
      <c r="T284" s="5" t="s">
        <v>65</v>
      </c>
      <c r="U284" s="5" t="s">
        <v>882</v>
      </c>
      <c r="V284" s="5" t="s">
        <v>363</v>
      </c>
      <c r="W284" s="5" t="s">
        <v>1045</v>
      </c>
      <c r="X284" s="5" t="s">
        <v>95</v>
      </c>
      <c r="Y284" s="5" t="s">
        <v>365</v>
      </c>
      <c r="Z284" s="5" t="s">
        <v>71</v>
      </c>
      <c r="AA284" s="5" t="s">
        <v>366</v>
      </c>
      <c r="AB284" s="5" t="s">
        <v>367</v>
      </c>
      <c r="AC284" s="5" t="s">
        <v>368</v>
      </c>
      <c r="AD284" s="5" t="s">
        <v>75</v>
      </c>
      <c r="AE284" s="5" t="s">
        <v>369</v>
      </c>
      <c r="AF284" s="6">
        <v>35226</v>
      </c>
      <c r="AG284" s="7">
        <v>1</v>
      </c>
      <c r="AH284" s="6">
        <v>35226</v>
      </c>
      <c r="AI284" s="5" t="s">
        <v>416</v>
      </c>
      <c r="AJ284" s="10">
        <v>45958</v>
      </c>
      <c r="AK284" s="5" t="s">
        <v>1046</v>
      </c>
      <c r="AL284" s="5" t="s">
        <v>79</v>
      </c>
      <c r="AM284" s="5">
        <v>1619409</v>
      </c>
      <c r="AN284" s="5" t="s">
        <v>80</v>
      </c>
      <c r="AO284" s="5">
        <v>1094010</v>
      </c>
      <c r="AP284" s="5" t="s">
        <v>81</v>
      </c>
      <c r="AQ284" s="5" t="s">
        <v>64</v>
      </c>
      <c r="AR284" s="5" t="s">
        <v>95</v>
      </c>
      <c r="AS284" s="5"/>
      <c r="AT284" s="5"/>
      <c r="AU284" s="5" t="s">
        <v>1047</v>
      </c>
      <c r="AV284" s="5" t="s">
        <v>888</v>
      </c>
      <c r="AW284" s="8"/>
      <c r="AX284" t="s">
        <v>2165</v>
      </c>
      <c r="AY284" s="21" t="s">
        <v>1108</v>
      </c>
    </row>
    <row r="285" spans="1:51" x14ac:dyDescent="0.35">
      <c r="A285" s="4" t="s">
        <v>772</v>
      </c>
      <c r="B285" s="5" t="s">
        <v>772</v>
      </c>
      <c r="C285" s="5" t="s">
        <v>1042</v>
      </c>
      <c r="D285" s="5" t="s">
        <v>50</v>
      </c>
      <c r="E285" s="5" t="s">
        <v>51</v>
      </c>
      <c r="F285" s="5" t="s">
        <v>869</v>
      </c>
      <c r="G285" s="5" t="s">
        <v>53</v>
      </c>
      <c r="H285" s="5" t="s">
        <v>54</v>
      </c>
      <c r="I285" s="5" t="s">
        <v>1048</v>
      </c>
      <c r="J285" s="5" t="s">
        <v>56</v>
      </c>
      <c r="K285" s="5" t="s">
        <v>57</v>
      </c>
      <c r="L285" s="5" t="s">
        <v>58</v>
      </c>
      <c r="M285" s="5" t="s">
        <v>59</v>
      </c>
      <c r="N285" s="5" t="s">
        <v>60</v>
      </c>
      <c r="O285" s="5" t="s">
        <v>60</v>
      </c>
      <c r="P285" s="5" t="s">
        <v>61</v>
      </c>
      <c r="Q285" s="5" t="s">
        <v>62</v>
      </c>
      <c r="R285" s="5" t="s">
        <v>63</v>
      </c>
      <c r="S285" s="5" t="s">
        <v>64</v>
      </c>
      <c r="T285" s="5" t="s">
        <v>65</v>
      </c>
      <c r="U285" s="5" t="s">
        <v>66</v>
      </c>
      <c r="V285" s="5" t="s">
        <v>212</v>
      </c>
      <c r="W285" s="5" t="s">
        <v>213</v>
      </c>
      <c r="X285" s="5" t="s">
        <v>207</v>
      </c>
      <c r="Y285" s="5" t="s">
        <v>214</v>
      </c>
      <c r="Z285" s="5" t="s">
        <v>71</v>
      </c>
      <c r="AA285" s="5" t="s">
        <v>87</v>
      </c>
      <c r="AB285" s="5" t="s">
        <v>88</v>
      </c>
      <c r="AC285" s="5" t="s">
        <v>89</v>
      </c>
      <c r="AD285" s="5" t="s">
        <v>75</v>
      </c>
      <c r="AE285" s="5" t="s">
        <v>117</v>
      </c>
      <c r="AF285" s="6">
        <v>4326</v>
      </c>
      <c r="AG285" s="7">
        <v>1</v>
      </c>
      <c r="AH285" s="6">
        <v>4326</v>
      </c>
      <c r="AI285" s="5" t="s">
        <v>118</v>
      </c>
      <c r="AJ285" s="10">
        <v>45958</v>
      </c>
      <c r="AK285" s="5" t="s">
        <v>1049</v>
      </c>
      <c r="AL285" s="5" t="s">
        <v>79</v>
      </c>
      <c r="AM285" s="5">
        <v>1619409</v>
      </c>
      <c r="AN285" s="5" t="s">
        <v>80</v>
      </c>
      <c r="AO285" s="5">
        <v>1094010</v>
      </c>
      <c r="AP285" s="5" t="s">
        <v>81</v>
      </c>
      <c r="AQ285" s="5" t="s">
        <v>64</v>
      </c>
      <c r="AR285" s="5" t="s">
        <v>207</v>
      </c>
      <c r="AS285" s="5"/>
      <c r="AT285" s="5"/>
      <c r="AU285" s="5"/>
      <c r="AV285" s="5"/>
      <c r="AW285" s="8"/>
      <c r="AX285" t="s">
        <v>1135</v>
      </c>
      <c r="AY285" t="s">
        <v>2152</v>
      </c>
    </row>
    <row r="286" spans="1:51" x14ac:dyDescent="0.35">
      <c r="A286" s="4" t="s">
        <v>772</v>
      </c>
      <c r="B286" s="5" t="s">
        <v>772</v>
      </c>
      <c r="C286" s="5" t="s">
        <v>1042</v>
      </c>
      <c r="D286" s="5" t="s">
        <v>50</v>
      </c>
      <c r="E286" s="5" t="s">
        <v>51</v>
      </c>
      <c r="F286" s="5" t="s">
        <v>869</v>
      </c>
      <c r="G286" s="5" t="s">
        <v>53</v>
      </c>
      <c r="H286" s="5" t="s">
        <v>54</v>
      </c>
      <c r="I286" s="5" t="s">
        <v>1050</v>
      </c>
      <c r="J286" s="5" t="s">
        <v>56</v>
      </c>
      <c r="K286" s="5" t="s">
        <v>57</v>
      </c>
      <c r="L286" s="5" t="s">
        <v>58</v>
      </c>
      <c r="M286" s="5" t="s">
        <v>59</v>
      </c>
      <c r="N286" s="5" t="s">
        <v>60</v>
      </c>
      <c r="O286" s="5" t="s">
        <v>60</v>
      </c>
      <c r="P286" s="5" t="s">
        <v>61</v>
      </c>
      <c r="Q286" s="5" t="s">
        <v>62</v>
      </c>
      <c r="R286" s="5" t="s">
        <v>63</v>
      </c>
      <c r="S286" s="5" t="s">
        <v>64</v>
      </c>
      <c r="T286" s="5" t="s">
        <v>65</v>
      </c>
      <c r="U286" s="5" t="s">
        <v>66</v>
      </c>
      <c r="V286" s="5" t="s">
        <v>516</v>
      </c>
      <c r="W286" s="5" t="s">
        <v>1051</v>
      </c>
      <c r="X286" s="5" t="s">
        <v>350</v>
      </c>
      <c r="Y286" s="5" t="s">
        <v>519</v>
      </c>
      <c r="Z286" s="5" t="s">
        <v>71</v>
      </c>
      <c r="AA286" s="5" t="s">
        <v>87</v>
      </c>
      <c r="AB286" s="5" t="s">
        <v>104</v>
      </c>
      <c r="AC286" s="5" t="s">
        <v>105</v>
      </c>
      <c r="AD286" s="5" t="s">
        <v>75</v>
      </c>
      <c r="AE286" s="5" t="s">
        <v>263</v>
      </c>
      <c r="AF286" s="6">
        <v>2920</v>
      </c>
      <c r="AG286" s="7">
        <v>1</v>
      </c>
      <c r="AH286" s="6">
        <v>2920</v>
      </c>
      <c r="AI286" s="5" t="s">
        <v>352</v>
      </c>
      <c r="AJ286" s="10">
        <v>45958</v>
      </c>
      <c r="AK286" s="5" t="s">
        <v>1052</v>
      </c>
      <c r="AL286" s="5" t="s">
        <v>79</v>
      </c>
      <c r="AM286" s="5">
        <v>1619409</v>
      </c>
      <c r="AN286" s="5" t="s">
        <v>80</v>
      </c>
      <c r="AO286" s="5">
        <v>1094010</v>
      </c>
      <c r="AP286" s="5" t="s">
        <v>81</v>
      </c>
      <c r="AQ286" s="5" t="s">
        <v>64</v>
      </c>
      <c r="AR286" s="5" t="s">
        <v>350</v>
      </c>
      <c r="AS286" s="5"/>
      <c r="AT286" s="5"/>
      <c r="AU286" s="5"/>
      <c r="AV286" s="5"/>
      <c r="AW286" s="8"/>
      <c r="AX286" t="s">
        <v>1135</v>
      </c>
      <c r="AY286" t="s">
        <v>2152</v>
      </c>
    </row>
    <row r="287" spans="1:51" x14ac:dyDescent="0.35">
      <c r="A287" s="4" t="s">
        <v>772</v>
      </c>
      <c r="B287" s="5" t="s">
        <v>772</v>
      </c>
      <c r="C287" s="5" t="s">
        <v>1042</v>
      </c>
      <c r="D287" s="5" t="s">
        <v>50</v>
      </c>
      <c r="E287" s="5" t="s">
        <v>51</v>
      </c>
      <c r="F287" s="5" t="s">
        <v>869</v>
      </c>
      <c r="G287" s="5" t="s">
        <v>53</v>
      </c>
      <c r="H287" s="5" t="s">
        <v>54</v>
      </c>
      <c r="I287" s="5" t="s">
        <v>1053</v>
      </c>
      <c r="J287" s="5" t="s">
        <v>56</v>
      </c>
      <c r="K287" s="5" t="s">
        <v>57</v>
      </c>
      <c r="L287" s="5" t="s">
        <v>58</v>
      </c>
      <c r="M287" s="5" t="s">
        <v>59</v>
      </c>
      <c r="N287" s="5" t="s">
        <v>60</v>
      </c>
      <c r="O287" s="5" t="s">
        <v>60</v>
      </c>
      <c r="P287" s="5" t="s">
        <v>61</v>
      </c>
      <c r="Q287" s="5" t="s">
        <v>62</v>
      </c>
      <c r="R287" s="5" t="s">
        <v>63</v>
      </c>
      <c r="S287" s="5" t="s">
        <v>64</v>
      </c>
      <c r="T287" s="5" t="s">
        <v>65</v>
      </c>
      <c r="U287" s="5" t="s">
        <v>66</v>
      </c>
      <c r="V287" s="5" t="s">
        <v>478</v>
      </c>
      <c r="W287" s="5" t="s">
        <v>479</v>
      </c>
      <c r="X287" s="5" t="s">
        <v>162</v>
      </c>
      <c r="Y287" s="5" t="s">
        <v>480</v>
      </c>
      <c r="Z287" s="5" t="s">
        <v>71</v>
      </c>
      <c r="AA287" s="5" t="s">
        <v>87</v>
      </c>
      <c r="AB287" s="5" t="s">
        <v>88</v>
      </c>
      <c r="AC287" s="5" t="s">
        <v>89</v>
      </c>
      <c r="AD287" s="5" t="s">
        <v>75</v>
      </c>
      <c r="AE287" s="5" t="s">
        <v>124</v>
      </c>
      <c r="AF287" s="6">
        <v>4326</v>
      </c>
      <c r="AG287" s="7">
        <v>1</v>
      </c>
      <c r="AH287" s="6">
        <v>4326</v>
      </c>
      <c r="AI287" s="5" t="s">
        <v>118</v>
      </c>
      <c r="AJ287" s="10">
        <v>45958</v>
      </c>
      <c r="AK287" s="5" t="s">
        <v>1046</v>
      </c>
      <c r="AL287" s="5" t="s">
        <v>79</v>
      </c>
      <c r="AM287" s="5">
        <v>1619409</v>
      </c>
      <c r="AN287" s="5" t="s">
        <v>80</v>
      </c>
      <c r="AO287" s="5">
        <v>1094010</v>
      </c>
      <c r="AP287" s="5" t="s">
        <v>81</v>
      </c>
      <c r="AQ287" s="5" t="s">
        <v>64</v>
      </c>
      <c r="AR287" s="5" t="s">
        <v>162</v>
      </c>
      <c r="AS287" s="5"/>
      <c r="AT287" s="5"/>
      <c r="AU287" s="5"/>
      <c r="AV287" s="5"/>
      <c r="AW287" s="8"/>
      <c r="AX287" t="s">
        <v>1135</v>
      </c>
      <c r="AY287" t="s">
        <v>2152</v>
      </c>
    </row>
    <row r="288" spans="1:51" x14ac:dyDescent="0.35">
      <c r="A288" s="4" t="s">
        <v>772</v>
      </c>
      <c r="B288" s="5" t="s">
        <v>772</v>
      </c>
      <c r="C288" s="5" t="s">
        <v>1042</v>
      </c>
      <c r="D288" s="5" t="s">
        <v>50</v>
      </c>
      <c r="E288" s="5" t="s">
        <v>51</v>
      </c>
      <c r="F288" s="5" t="s">
        <v>869</v>
      </c>
      <c r="G288" s="5" t="s">
        <v>53</v>
      </c>
      <c r="H288" s="5" t="s">
        <v>54</v>
      </c>
      <c r="I288" s="5" t="s">
        <v>1053</v>
      </c>
      <c r="J288" s="5" t="s">
        <v>56</v>
      </c>
      <c r="K288" s="5" t="s">
        <v>57</v>
      </c>
      <c r="L288" s="5" t="s">
        <v>58</v>
      </c>
      <c r="M288" s="5" t="s">
        <v>59</v>
      </c>
      <c r="N288" s="5" t="s">
        <v>60</v>
      </c>
      <c r="O288" s="5" t="s">
        <v>60</v>
      </c>
      <c r="P288" s="5" t="s">
        <v>61</v>
      </c>
      <c r="Q288" s="5" t="s">
        <v>62</v>
      </c>
      <c r="R288" s="5" t="s">
        <v>63</v>
      </c>
      <c r="S288" s="5" t="s">
        <v>64</v>
      </c>
      <c r="T288" s="5" t="s">
        <v>65</v>
      </c>
      <c r="U288" s="5" t="s">
        <v>66</v>
      </c>
      <c r="V288" s="5" t="s">
        <v>1054</v>
      </c>
      <c r="W288" s="5" t="s">
        <v>1055</v>
      </c>
      <c r="X288" s="5" t="s">
        <v>453</v>
      </c>
      <c r="Y288" s="5" t="s">
        <v>1056</v>
      </c>
      <c r="Z288" s="5" t="s">
        <v>71</v>
      </c>
      <c r="AA288" s="5" t="s">
        <v>72</v>
      </c>
      <c r="AB288" s="5" t="s">
        <v>73</v>
      </c>
      <c r="AC288" s="5" t="s">
        <v>228</v>
      </c>
      <c r="AD288" s="5" t="s">
        <v>75</v>
      </c>
      <c r="AE288" s="5" t="s">
        <v>1057</v>
      </c>
      <c r="AF288" s="6">
        <v>35203.86</v>
      </c>
      <c r="AG288" s="7">
        <v>1</v>
      </c>
      <c r="AH288" s="6">
        <v>35203.86</v>
      </c>
      <c r="AI288" s="5" t="s">
        <v>304</v>
      </c>
      <c r="AJ288" s="10">
        <v>45958</v>
      </c>
      <c r="AK288" s="5" t="s">
        <v>1046</v>
      </c>
      <c r="AL288" s="5" t="s">
        <v>79</v>
      </c>
      <c r="AM288" s="5">
        <v>1619409</v>
      </c>
      <c r="AN288" s="5" t="s">
        <v>80</v>
      </c>
      <c r="AO288" s="5">
        <v>1094010</v>
      </c>
      <c r="AP288" s="5" t="s">
        <v>81</v>
      </c>
      <c r="AQ288" s="5" t="s">
        <v>64</v>
      </c>
      <c r="AR288" s="5" t="s">
        <v>453</v>
      </c>
      <c r="AS288" s="5"/>
      <c r="AT288" s="5"/>
      <c r="AU288" s="5"/>
      <c r="AV288" s="5"/>
      <c r="AW288" s="8"/>
      <c r="AX288" t="s">
        <v>1135</v>
      </c>
      <c r="AY288" t="s">
        <v>2152</v>
      </c>
    </row>
    <row r="289" spans="1:51" x14ac:dyDescent="0.35">
      <c r="A289" s="4" t="s">
        <v>772</v>
      </c>
      <c r="B289" s="5" t="s">
        <v>772</v>
      </c>
      <c r="C289" s="5" t="s">
        <v>1058</v>
      </c>
      <c r="D289" s="5" t="s">
        <v>50</v>
      </c>
      <c r="E289" s="5" t="s">
        <v>51</v>
      </c>
      <c r="F289" s="5" t="s">
        <v>869</v>
      </c>
      <c r="G289" s="5" t="s">
        <v>53</v>
      </c>
      <c r="H289" s="5" t="s">
        <v>54</v>
      </c>
      <c r="I289" s="5" t="s">
        <v>1059</v>
      </c>
      <c r="J289" s="5" t="s">
        <v>56</v>
      </c>
      <c r="K289" s="5" t="s">
        <v>57</v>
      </c>
      <c r="L289" s="5" t="s">
        <v>58</v>
      </c>
      <c r="M289" s="5" t="s">
        <v>59</v>
      </c>
      <c r="N289" s="5" t="s">
        <v>60</v>
      </c>
      <c r="O289" s="5" t="s">
        <v>60</v>
      </c>
      <c r="P289" s="5" t="s">
        <v>61</v>
      </c>
      <c r="Q289" s="5" t="s">
        <v>62</v>
      </c>
      <c r="R289" s="5" t="s">
        <v>63</v>
      </c>
      <c r="S289" s="5" t="s">
        <v>64</v>
      </c>
      <c r="T289" s="5" t="s">
        <v>65</v>
      </c>
      <c r="U289" s="5" t="s">
        <v>66</v>
      </c>
      <c r="V289" s="5" t="s">
        <v>951</v>
      </c>
      <c r="W289" s="5" t="s">
        <v>1060</v>
      </c>
      <c r="X289" s="5" t="s">
        <v>465</v>
      </c>
      <c r="Y289" s="5" t="s">
        <v>953</v>
      </c>
      <c r="Z289" s="5" t="s">
        <v>71</v>
      </c>
      <c r="AA289" s="5" t="s">
        <v>249</v>
      </c>
      <c r="AB289" s="5" t="s">
        <v>250</v>
      </c>
      <c r="AC289" s="5" t="s">
        <v>251</v>
      </c>
      <c r="AD289" s="5" t="s">
        <v>75</v>
      </c>
      <c r="AE289" s="5" t="s">
        <v>252</v>
      </c>
      <c r="AF289" s="6">
        <v>30000</v>
      </c>
      <c r="AG289" s="7">
        <v>1</v>
      </c>
      <c r="AH289" s="6">
        <v>30000</v>
      </c>
      <c r="AI289" s="5" t="s">
        <v>1061</v>
      </c>
      <c r="AJ289" s="10">
        <v>45959</v>
      </c>
      <c r="AK289" s="5" t="s">
        <v>1062</v>
      </c>
      <c r="AL289" s="5" t="s">
        <v>79</v>
      </c>
      <c r="AM289" s="5">
        <v>1619409</v>
      </c>
      <c r="AN289" s="5" t="s">
        <v>80</v>
      </c>
      <c r="AO289" s="5">
        <v>1094010</v>
      </c>
      <c r="AP289" s="5" t="s">
        <v>81</v>
      </c>
      <c r="AQ289" s="5" t="s">
        <v>64</v>
      </c>
      <c r="AR289" s="5" t="s">
        <v>465</v>
      </c>
      <c r="AS289" s="5"/>
      <c r="AT289" s="5"/>
      <c r="AU289" s="5"/>
      <c r="AV289" s="5"/>
      <c r="AW289" s="8"/>
      <c r="AX289" t="s">
        <v>1135</v>
      </c>
      <c r="AY289" t="s">
        <v>2152</v>
      </c>
    </row>
    <row r="290" spans="1:51" x14ac:dyDescent="0.35">
      <c r="A290" s="4" t="s">
        <v>772</v>
      </c>
      <c r="B290" s="5" t="s">
        <v>772</v>
      </c>
      <c r="C290" s="5" t="s">
        <v>1058</v>
      </c>
      <c r="D290" s="5" t="s">
        <v>50</v>
      </c>
      <c r="E290" s="5" t="s">
        <v>51</v>
      </c>
      <c r="F290" s="5" t="s">
        <v>869</v>
      </c>
      <c r="G290" s="5" t="s">
        <v>53</v>
      </c>
      <c r="H290" s="5" t="s">
        <v>54</v>
      </c>
      <c r="I290" s="5" t="s">
        <v>1063</v>
      </c>
      <c r="J290" s="5" t="s">
        <v>56</v>
      </c>
      <c r="K290" s="5" t="s">
        <v>57</v>
      </c>
      <c r="L290" s="5" t="s">
        <v>58</v>
      </c>
      <c r="M290" s="5" t="s">
        <v>59</v>
      </c>
      <c r="N290" s="5" t="s">
        <v>60</v>
      </c>
      <c r="O290" s="5" t="s">
        <v>60</v>
      </c>
      <c r="P290" s="5" t="s">
        <v>61</v>
      </c>
      <c r="Q290" s="5" t="s">
        <v>62</v>
      </c>
      <c r="R290" s="5" t="s">
        <v>63</v>
      </c>
      <c r="S290" s="5" t="s">
        <v>64</v>
      </c>
      <c r="T290" s="5" t="s">
        <v>65</v>
      </c>
      <c r="U290" s="5" t="s">
        <v>66</v>
      </c>
      <c r="V290" s="5" t="s">
        <v>798</v>
      </c>
      <c r="W290" s="5" t="s">
        <v>930</v>
      </c>
      <c r="X290" s="5" t="s">
        <v>207</v>
      </c>
      <c r="Y290" s="5" t="s">
        <v>800</v>
      </c>
      <c r="Z290" s="5" t="s">
        <v>71</v>
      </c>
      <c r="AA290" s="5" t="s">
        <v>87</v>
      </c>
      <c r="AB290" s="5" t="s">
        <v>88</v>
      </c>
      <c r="AC290" s="5" t="s">
        <v>89</v>
      </c>
      <c r="AD290" s="5" t="s">
        <v>75</v>
      </c>
      <c r="AE290" s="5" t="s">
        <v>124</v>
      </c>
      <c r="AF290" s="6">
        <v>4326</v>
      </c>
      <c r="AG290" s="7">
        <v>1</v>
      </c>
      <c r="AH290" s="6">
        <v>4326</v>
      </c>
      <c r="AI290" s="5" t="s">
        <v>581</v>
      </c>
      <c r="AJ290" s="10">
        <v>45959</v>
      </c>
      <c r="AK290" s="5" t="s">
        <v>1064</v>
      </c>
      <c r="AL290" s="5" t="s">
        <v>79</v>
      </c>
      <c r="AM290" s="5">
        <v>1619409</v>
      </c>
      <c r="AN290" s="5" t="s">
        <v>80</v>
      </c>
      <c r="AO290" s="5">
        <v>1094010</v>
      </c>
      <c r="AP290" s="5" t="s">
        <v>81</v>
      </c>
      <c r="AQ290" s="5" t="s">
        <v>64</v>
      </c>
      <c r="AR290" s="5" t="s">
        <v>207</v>
      </c>
      <c r="AS290" s="5"/>
      <c r="AT290" s="5"/>
      <c r="AU290" s="5"/>
      <c r="AV290" s="5"/>
      <c r="AW290" s="8"/>
      <c r="AX290" t="s">
        <v>1135</v>
      </c>
      <c r="AY290" t="s">
        <v>2152</v>
      </c>
    </row>
    <row r="291" spans="1:51" x14ac:dyDescent="0.35">
      <c r="A291" s="4" t="s">
        <v>772</v>
      </c>
      <c r="B291" s="5" t="s">
        <v>772</v>
      </c>
      <c r="C291" s="5" t="s">
        <v>1058</v>
      </c>
      <c r="D291" s="5" t="s">
        <v>50</v>
      </c>
      <c r="E291" s="5" t="s">
        <v>51</v>
      </c>
      <c r="F291" s="5" t="s">
        <v>869</v>
      </c>
      <c r="G291" s="5" t="s">
        <v>53</v>
      </c>
      <c r="H291" s="5" t="s">
        <v>54</v>
      </c>
      <c r="I291" s="5" t="s">
        <v>1063</v>
      </c>
      <c r="J291" s="5" t="s">
        <v>56</v>
      </c>
      <c r="K291" s="5" t="s">
        <v>57</v>
      </c>
      <c r="L291" s="5" t="s">
        <v>58</v>
      </c>
      <c r="M291" s="5" t="s">
        <v>59</v>
      </c>
      <c r="N291" s="5" t="s">
        <v>60</v>
      </c>
      <c r="O291" s="5" t="s">
        <v>60</v>
      </c>
      <c r="P291" s="5" t="s">
        <v>61</v>
      </c>
      <c r="Q291" s="5" t="s">
        <v>62</v>
      </c>
      <c r="R291" s="5" t="s">
        <v>63</v>
      </c>
      <c r="S291" s="5" t="s">
        <v>64</v>
      </c>
      <c r="T291" s="5" t="s">
        <v>65</v>
      </c>
      <c r="U291" s="5" t="s">
        <v>66</v>
      </c>
      <c r="V291" s="5" t="s">
        <v>656</v>
      </c>
      <c r="W291" s="5" t="s">
        <v>1065</v>
      </c>
      <c r="X291" s="5" t="s">
        <v>85</v>
      </c>
      <c r="Y291" s="5" t="s">
        <v>658</v>
      </c>
      <c r="Z291" s="5" t="s">
        <v>71</v>
      </c>
      <c r="AA291" s="5" t="s">
        <v>72</v>
      </c>
      <c r="AB291" s="5" t="s">
        <v>73</v>
      </c>
      <c r="AC291" s="5" t="s">
        <v>74</v>
      </c>
      <c r="AD291" s="5" t="s">
        <v>75</v>
      </c>
      <c r="AE291" s="5" t="s">
        <v>223</v>
      </c>
      <c r="AF291" s="6">
        <v>35818.480000000003</v>
      </c>
      <c r="AG291" s="7">
        <v>1</v>
      </c>
      <c r="AH291" s="6">
        <v>35818.480000000003</v>
      </c>
      <c r="AI291" s="5" t="s">
        <v>794</v>
      </c>
      <c r="AJ291" s="10">
        <v>45959</v>
      </c>
      <c r="AK291" s="5" t="s">
        <v>1064</v>
      </c>
      <c r="AL291" s="5" t="s">
        <v>79</v>
      </c>
      <c r="AM291" s="5">
        <v>1619409</v>
      </c>
      <c r="AN291" s="5" t="s">
        <v>80</v>
      </c>
      <c r="AO291" s="5">
        <v>1094010</v>
      </c>
      <c r="AP291" s="5" t="s">
        <v>81</v>
      </c>
      <c r="AQ291" s="5" t="s">
        <v>64</v>
      </c>
      <c r="AR291" s="5" t="s">
        <v>85</v>
      </c>
      <c r="AS291" s="5"/>
      <c r="AT291" s="5"/>
      <c r="AU291" s="5"/>
      <c r="AV291" s="5"/>
      <c r="AW291" s="8"/>
      <c r="AX291" t="s">
        <v>1135</v>
      </c>
      <c r="AY291" t="s">
        <v>2152</v>
      </c>
    </row>
    <row r="292" spans="1:51" x14ac:dyDescent="0.35">
      <c r="A292" s="4" t="s">
        <v>772</v>
      </c>
      <c r="B292" s="5" t="s">
        <v>772</v>
      </c>
      <c r="C292" s="5" t="s">
        <v>1058</v>
      </c>
      <c r="D292" s="5" t="s">
        <v>50</v>
      </c>
      <c r="E292" s="5" t="s">
        <v>51</v>
      </c>
      <c r="F292" s="5" t="s">
        <v>869</v>
      </c>
      <c r="G292" s="5" t="s">
        <v>53</v>
      </c>
      <c r="H292" s="5" t="s">
        <v>54</v>
      </c>
      <c r="I292" s="5" t="s">
        <v>1066</v>
      </c>
      <c r="J292" s="5" t="s">
        <v>56</v>
      </c>
      <c r="K292" s="5" t="s">
        <v>57</v>
      </c>
      <c r="L292" s="5" t="s">
        <v>58</v>
      </c>
      <c r="M292" s="5" t="s">
        <v>59</v>
      </c>
      <c r="N292" s="5" t="s">
        <v>60</v>
      </c>
      <c r="O292" s="5" t="s">
        <v>60</v>
      </c>
      <c r="P292" s="5" t="s">
        <v>61</v>
      </c>
      <c r="Q292" s="5" t="s">
        <v>62</v>
      </c>
      <c r="R292" s="5" t="s">
        <v>63</v>
      </c>
      <c r="S292" s="5" t="s">
        <v>64</v>
      </c>
      <c r="T292" s="5" t="s">
        <v>65</v>
      </c>
      <c r="U292" s="5" t="s">
        <v>66</v>
      </c>
      <c r="V292" s="5" t="s">
        <v>516</v>
      </c>
      <c r="W292" s="5" t="s">
        <v>1051</v>
      </c>
      <c r="X292" s="5" t="s">
        <v>350</v>
      </c>
      <c r="Y292" s="5" t="s">
        <v>519</v>
      </c>
      <c r="Z292" s="5" t="s">
        <v>71</v>
      </c>
      <c r="AA292" s="5" t="s">
        <v>87</v>
      </c>
      <c r="AB292" s="5" t="s">
        <v>104</v>
      </c>
      <c r="AC292" s="5" t="s">
        <v>105</v>
      </c>
      <c r="AD292" s="5" t="s">
        <v>75</v>
      </c>
      <c r="AE292" s="5" t="s">
        <v>263</v>
      </c>
      <c r="AF292" s="6">
        <v>2920</v>
      </c>
      <c r="AG292" s="7">
        <v>1</v>
      </c>
      <c r="AH292" s="6">
        <v>2920</v>
      </c>
      <c r="AI292" s="5" t="s">
        <v>352</v>
      </c>
      <c r="AJ292" s="10">
        <v>45959</v>
      </c>
      <c r="AK292" s="5" t="s">
        <v>1067</v>
      </c>
      <c r="AL292" s="5" t="s">
        <v>79</v>
      </c>
      <c r="AM292" s="5">
        <v>1619409</v>
      </c>
      <c r="AN292" s="5" t="s">
        <v>80</v>
      </c>
      <c r="AO292" s="5">
        <v>1094010</v>
      </c>
      <c r="AP292" s="5" t="s">
        <v>81</v>
      </c>
      <c r="AQ292" s="5" t="s">
        <v>64</v>
      </c>
      <c r="AR292" s="5" t="s">
        <v>350</v>
      </c>
      <c r="AS292" s="5"/>
      <c r="AT292" s="5"/>
      <c r="AU292" s="5"/>
      <c r="AV292" s="5"/>
      <c r="AW292" s="8"/>
      <c r="AX292" t="s">
        <v>1135</v>
      </c>
      <c r="AY292" t="s">
        <v>2152</v>
      </c>
    </row>
    <row r="293" spans="1:51" x14ac:dyDescent="0.35">
      <c r="A293" s="4" t="s">
        <v>772</v>
      </c>
      <c r="B293" s="5" t="s">
        <v>772</v>
      </c>
      <c r="C293" s="5" t="s">
        <v>1058</v>
      </c>
      <c r="D293" s="5" t="s">
        <v>50</v>
      </c>
      <c r="E293" s="5" t="s">
        <v>51</v>
      </c>
      <c r="F293" s="5" t="s">
        <v>869</v>
      </c>
      <c r="G293" s="5" t="s">
        <v>53</v>
      </c>
      <c r="H293" s="5" t="s">
        <v>54</v>
      </c>
      <c r="I293" s="5" t="s">
        <v>1066</v>
      </c>
      <c r="J293" s="5" t="s">
        <v>56</v>
      </c>
      <c r="K293" s="5" t="s">
        <v>57</v>
      </c>
      <c r="L293" s="5" t="s">
        <v>58</v>
      </c>
      <c r="M293" s="5" t="s">
        <v>59</v>
      </c>
      <c r="N293" s="5" t="s">
        <v>60</v>
      </c>
      <c r="O293" s="5" t="s">
        <v>60</v>
      </c>
      <c r="P293" s="5" t="s">
        <v>61</v>
      </c>
      <c r="Q293" s="5" t="s">
        <v>62</v>
      </c>
      <c r="R293" s="5" t="s">
        <v>63</v>
      </c>
      <c r="S293" s="5" t="s">
        <v>64</v>
      </c>
      <c r="T293" s="5" t="s">
        <v>65</v>
      </c>
      <c r="U293" s="5" t="s">
        <v>66</v>
      </c>
      <c r="V293" s="5" t="s">
        <v>472</v>
      </c>
      <c r="W293" s="5" t="s">
        <v>496</v>
      </c>
      <c r="X293" s="5" t="s">
        <v>207</v>
      </c>
      <c r="Y293" s="5" t="s">
        <v>474</v>
      </c>
      <c r="Z293" s="5" t="s">
        <v>71</v>
      </c>
      <c r="AA293" s="5" t="s">
        <v>87</v>
      </c>
      <c r="AB293" s="5" t="s">
        <v>88</v>
      </c>
      <c r="AC293" s="5" t="s">
        <v>89</v>
      </c>
      <c r="AD293" s="5" t="s">
        <v>75</v>
      </c>
      <c r="AE293" s="5" t="s">
        <v>124</v>
      </c>
      <c r="AF293" s="6">
        <v>4326</v>
      </c>
      <c r="AG293" s="7">
        <v>1</v>
      </c>
      <c r="AH293" s="6">
        <v>4326</v>
      </c>
      <c r="AI293" s="5" t="s">
        <v>118</v>
      </c>
      <c r="AJ293" s="10">
        <v>45959</v>
      </c>
      <c r="AK293" s="5" t="s">
        <v>1067</v>
      </c>
      <c r="AL293" s="5" t="s">
        <v>79</v>
      </c>
      <c r="AM293" s="5">
        <v>1619409</v>
      </c>
      <c r="AN293" s="5" t="s">
        <v>80</v>
      </c>
      <c r="AO293" s="5">
        <v>1094010</v>
      </c>
      <c r="AP293" s="5" t="s">
        <v>81</v>
      </c>
      <c r="AQ293" s="5" t="s">
        <v>64</v>
      </c>
      <c r="AR293" s="5" t="s">
        <v>207</v>
      </c>
      <c r="AS293" s="5"/>
      <c r="AT293" s="5"/>
      <c r="AU293" s="5"/>
      <c r="AV293" s="5"/>
      <c r="AW293" s="8"/>
      <c r="AX293" t="s">
        <v>1135</v>
      </c>
      <c r="AY293" t="s">
        <v>2152</v>
      </c>
    </row>
    <row r="294" spans="1:51" x14ac:dyDescent="0.35">
      <c r="A294" s="4" t="s">
        <v>772</v>
      </c>
      <c r="B294" s="5" t="s">
        <v>772</v>
      </c>
      <c r="C294" s="5" t="s">
        <v>1058</v>
      </c>
      <c r="D294" s="5" t="s">
        <v>50</v>
      </c>
      <c r="E294" s="5" t="s">
        <v>51</v>
      </c>
      <c r="F294" s="5" t="s">
        <v>869</v>
      </c>
      <c r="G294" s="5" t="s">
        <v>53</v>
      </c>
      <c r="H294" s="5" t="s">
        <v>54</v>
      </c>
      <c r="I294" s="5" t="s">
        <v>1068</v>
      </c>
      <c r="J294" s="5" t="s">
        <v>56</v>
      </c>
      <c r="K294" s="5" t="s">
        <v>57</v>
      </c>
      <c r="L294" s="5" t="s">
        <v>58</v>
      </c>
      <c r="M294" s="5" t="s">
        <v>59</v>
      </c>
      <c r="N294" s="5" t="s">
        <v>60</v>
      </c>
      <c r="O294" s="5" t="s">
        <v>60</v>
      </c>
      <c r="P294" s="5" t="s">
        <v>61</v>
      </c>
      <c r="Q294" s="5" t="s">
        <v>62</v>
      </c>
      <c r="R294" s="5" t="s">
        <v>63</v>
      </c>
      <c r="S294" s="5" t="s">
        <v>64</v>
      </c>
      <c r="T294" s="5" t="s">
        <v>65</v>
      </c>
      <c r="U294" s="5" t="s">
        <v>66</v>
      </c>
      <c r="V294" s="5" t="s">
        <v>144</v>
      </c>
      <c r="W294" s="5" t="s">
        <v>1069</v>
      </c>
      <c r="X294" s="5" t="s">
        <v>504</v>
      </c>
      <c r="Y294" s="5" t="s">
        <v>147</v>
      </c>
      <c r="Z294" s="5" t="s">
        <v>71</v>
      </c>
      <c r="AA294" s="5" t="s">
        <v>87</v>
      </c>
      <c r="AB294" s="5" t="s">
        <v>104</v>
      </c>
      <c r="AC294" s="5" t="s">
        <v>105</v>
      </c>
      <c r="AD294" s="5" t="s">
        <v>75</v>
      </c>
      <c r="AE294" s="5" t="s">
        <v>148</v>
      </c>
      <c r="AF294" s="6">
        <v>2835</v>
      </c>
      <c r="AG294" s="7">
        <v>1</v>
      </c>
      <c r="AH294" s="6">
        <v>2835</v>
      </c>
      <c r="AI294" s="5" t="s">
        <v>588</v>
      </c>
      <c r="AJ294" s="10">
        <v>45959</v>
      </c>
      <c r="AK294" s="5" t="s">
        <v>1070</v>
      </c>
      <c r="AL294" s="5" t="s">
        <v>79</v>
      </c>
      <c r="AM294" s="5">
        <v>1619409</v>
      </c>
      <c r="AN294" s="5" t="s">
        <v>80</v>
      </c>
      <c r="AO294" s="5">
        <v>1094010</v>
      </c>
      <c r="AP294" s="5" t="s">
        <v>81</v>
      </c>
      <c r="AQ294" s="5" t="s">
        <v>64</v>
      </c>
      <c r="AR294" s="5" t="s">
        <v>504</v>
      </c>
      <c r="AS294" s="5"/>
      <c r="AT294" s="5"/>
      <c r="AU294" s="5"/>
      <c r="AV294" s="5"/>
      <c r="AW294" s="8"/>
      <c r="AX294" t="s">
        <v>1135</v>
      </c>
      <c r="AY294" t="s">
        <v>2152</v>
      </c>
    </row>
    <row r="295" spans="1:51" x14ac:dyDescent="0.35">
      <c r="A295" s="4" t="s">
        <v>772</v>
      </c>
      <c r="B295" s="5" t="s">
        <v>772</v>
      </c>
      <c r="C295" s="5" t="s">
        <v>1058</v>
      </c>
      <c r="D295" s="5" t="s">
        <v>50</v>
      </c>
      <c r="E295" s="5" t="s">
        <v>51</v>
      </c>
      <c r="F295" s="5" t="s">
        <v>869</v>
      </c>
      <c r="G295" s="5" t="s">
        <v>53</v>
      </c>
      <c r="H295" s="5" t="s">
        <v>54</v>
      </c>
      <c r="I295" s="5" t="s">
        <v>1071</v>
      </c>
      <c r="J295" s="5" t="s">
        <v>56</v>
      </c>
      <c r="K295" s="5" t="s">
        <v>57</v>
      </c>
      <c r="L295" s="5" t="s">
        <v>58</v>
      </c>
      <c r="M295" s="5" t="s">
        <v>59</v>
      </c>
      <c r="N295" s="5" t="s">
        <v>60</v>
      </c>
      <c r="O295" s="5" t="s">
        <v>60</v>
      </c>
      <c r="P295" s="5" t="s">
        <v>61</v>
      </c>
      <c r="Q295" s="5" t="s">
        <v>62</v>
      </c>
      <c r="R295" s="5" t="s">
        <v>63</v>
      </c>
      <c r="S295" s="5" t="s">
        <v>64</v>
      </c>
      <c r="T295" s="5" t="s">
        <v>65</v>
      </c>
      <c r="U295" s="5" t="s">
        <v>66</v>
      </c>
      <c r="V295" s="5" t="s">
        <v>348</v>
      </c>
      <c r="W295" s="5" t="s">
        <v>1072</v>
      </c>
      <c r="X295" s="5" t="s">
        <v>162</v>
      </c>
      <c r="Y295" s="5" t="s">
        <v>351</v>
      </c>
      <c r="Z295" s="5" t="s">
        <v>71</v>
      </c>
      <c r="AA295" s="5" t="s">
        <v>87</v>
      </c>
      <c r="AB295" s="5" t="s">
        <v>104</v>
      </c>
      <c r="AC295" s="5" t="s">
        <v>105</v>
      </c>
      <c r="AD295" s="5" t="s">
        <v>75</v>
      </c>
      <c r="AE295" s="5" t="s">
        <v>170</v>
      </c>
      <c r="AF295" s="6">
        <v>2835</v>
      </c>
      <c r="AG295" s="7">
        <v>1</v>
      </c>
      <c r="AH295" s="6">
        <v>2835</v>
      </c>
      <c r="AI295" s="5" t="s">
        <v>588</v>
      </c>
      <c r="AJ295" s="10">
        <v>45959</v>
      </c>
      <c r="AK295" s="5" t="s">
        <v>1073</v>
      </c>
      <c r="AL295" s="5" t="s">
        <v>79</v>
      </c>
      <c r="AM295" s="5">
        <v>1619409</v>
      </c>
      <c r="AN295" s="5" t="s">
        <v>80</v>
      </c>
      <c r="AO295" s="5">
        <v>1094010</v>
      </c>
      <c r="AP295" s="5" t="s">
        <v>81</v>
      </c>
      <c r="AQ295" s="5" t="s">
        <v>64</v>
      </c>
      <c r="AR295" s="5" t="s">
        <v>162</v>
      </c>
      <c r="AS295" s="5"/>
      <c r="AT295" s="5"/>
      <c r="AU295" s="5"/>
      <c r="AV295" s="5"/>
      <c r="AW295" s="8"/>
      <c r="AX295" t="s">
        <v>1135</v>
      </c>
      <c r="AY295" t="s">
        <v>2152</v>
      </c>
    </row>
    <row r="296" spans="1:51" x14ac:dyDescent="0.35">
      <c r="A296" s="4" t="s">
        <v>772</v>
      </c>
      <c r="B296" s="5" t="s">
        <v>772</v>
      </c>
      <c r="C296" s="5" t="s">
        <v>1058</v>
      </c>
      <c r="D296" s="5" t="s">
        <v>50</v>
      </c>
      <c r="E296" s="5" t="s">
        <v>51</v>
      </c>
      <c r="F296" s="5" t="s">
        <v>869</v>
      </c>
      <c r="G296" s="5" t="s">
        <v>53</v>
      </c>
      <c r="H296" s="5" t="s">
        <v>54</v>
      </c>
      <c r="I296" s="5" t="s">
        <v>1071</v>
      </c>
      <c r="J296" s="5" t="s">
        <v>56</v>
      </c>
      <c r="K296" s="5" t="s">
        <v>57</v>
      </c>
      <c r="L296" s="5" t="s">
        <v>58</v>
      </c>
      <c r="M296" s="5" t="s">
        <v>59</v>
      </c>
      <c r="N296" s="5" t="s">
        <v>60</v>
      </c>
      <c r="O296" s="5" t="s">
        <v>60</v>
      </c>
      <c r="P296" s="5" t="s">
        <v>61</v>
      </c>
      <c r="Q296" s="5" t="s">
        <v>62</v>
      </c>
      <c r="R296" s="5" t="s">
        <v>63</v>
      </c>
      <c r="S296" s="5" t="s">
        <v>64</v>
      </c>
      <c r="T296" s="5" t="s">
        <v>65</v>
      </c>
      <c r="U296" s="5" t="s">
        <v>66</v>
      </c>
      <c r="V296" s="5" t="s">
        <v>798</v>
      </c>
      <c r="W296" s="5" t="s">
        <v>930</v>
      </c>
      <c r="X296" s="5" t="s">
        <v>207</v>
      </c>
      <c r="Y296" s="5" t="s">
        <v>800</v>
      </c>
      <c r="Z296" s="5" t="s">
        <v>71</v>
      </c>
      <c r="AA296" s="5" t="s">
        <v>87</v>
      </c>
      <c r="AB296" s="5" t="s">
        <v>88</v>
      </c>
      <c r="AC296" s="5" t="s">
        <v>89</v>
      </c>
      <c r="AD296" s="5" t="s">
        <v>75</v>
      </c>
      <c r="AE296" s="5" t="s">
        <v>124</v>
      </c>
      <c r="AF296" s="6">
        <v>4326</v>
      </c>
      <c r="AG296" s="7">
        <v>1</v>
      </c>
      <c r="AH296" s="6">
        <v>4326</v>
      </c>
      <c r="AI296" s="5" t="s">
        <v>581</v>
      </c>
      <c r="AJ296" s="10">
        <v>45959</v>
      </c>
      <c r="AK296" s="5" t="s">
        <v>1073</v>
      </c>
      <c r="AL296" s="5" t="s">
        <v>79</v>
      </c>
      <c r="AM296" s="5">
        <v>1619409</v>
      </c>
      <c r="AN296" s="5" t="s">
        <v>80</v>
      </c>
      <c r="AO296" s="5">
        <v>1094010</v>
      </c>
      <c r="AP296" s="5" t="s">
        <v>81</v>
      </c>
      <c r="AQ296" s="5" t="s">
        <v>64</v>
      </c>
      <c r="AR296" s="5" t="s">
        <v>207</v>
      </c>
      <c r="AS296" s="5"/>
      <c r="AT296" s="5"/>
      <c r="AU296" s="5"/>
      <c r="AV296" s="5"/>
      <c r="AW296" s="8"/>
      <c r="AX296" t="s">
        <v>1135</v>
      </c>
      <c r="AY296" t="s">
        <v>2152</v>
      </c>
    </row>
    <row r="297" spans="1:51" x14ac:dyDescent="0.35">
      <c r="A297" s="4" t="s">
        <v>772</v>
      </c>
      <c r="B297" s="5" t="s">
        <v>772</v>
      </c>
      <c r="C297" s="5" t="s">
        <v>1058</v>
      </c>
      <c r="D297" s="5" t="s">
        <v>50</v>
      </c>
      <c r="E297" s="5" t="s">
        <v>51</v>
      </c>
      <c r="F297" s="5" t="s">
        <v>869</v>
      </c>
      <c r="G297" s="5" t="s">
        <v>53</v>
      </c>
      <c r="H297" s="5" t="s">
        <v>54</v>
      </c>
      <c r="I297" s="5" t="s">
        <v>1071</v>
      </c>
      <c r="J297" s="5" t="s">
        <v>56</v>
      </c>
      <c r="K297" s="5" t="s">
        <v>57</v>
      </c>
      <c r="L297" s="5" t="s">
        <v>58</v>
      </c>
      <c r="M297" s="5" t="s">
        <v>59</v>
      </c>
      <c r="N297" s="5" t="s">
        <v>60</v>
      </c>
      <c r="O297" s="5" t="s">
        <v>60</v>
      </c>
      <c r="P297" s="5" t="s">
        <v>61</v>
      </c>
      <c r="Q297" s="5" t="s">
        <v>62</v>
      </c>
      <c r="R297" s="5" t="s">
        <v>63</v>
      </c>
      <c r="S297" s="5" t="s">
        <v>64</v>
      </c>
      <c r="T297" s="5" t="s">
        <v>65</v>
      </c>
      <c r="U297" s="5" t="s">
        <v>66</v>
      </c>
      <c r="V297" s="5" t="s">
        <v>1074</v>
      </c>
      <c r="W297" s="5" t="s">
        <v>1075</v>
      </c>
      <c r="X297" s="5" t="s">
        <v>645</v>
      </c>
      <c r="Y297" s="5" t="s">
        <v>1076</v>
      </c>
      <c r="Z297" s="5" t="s">
        <v>71</v>
      </c>
      <c r="AA297" s="5" t="s">
        <v>72</v>
      </c>
      <c r="AB297" s="5" t="s">
        <v>73</v>
      </c>
      <c r="AC297" s="5" t="s">
        <v>74</v>
      </c>
      <c r="AD297" s="5" t="s">
        <v>75</v>
      </c>
      <c r="AE297" s="5" t="s">
        <v>258</v>
      </c>
      <c r="AF297" s="6">
        <v>35818.480000000003</v>
      </c>
      <c r="AG297" s="7">
        <v>1</v>
      </c>
      <c r="AH297" s="6">
        <v>35818.480000000003</v>
      </c>
      <c r="AI297" s="5" t="s">
        <v>723</v>
      </c>
      <c r="AJ297" s="10">
        <v>45959</v>
      </c>
      <c r="AK297" s="5" t="s">
        <v>1073</v>
      </c>
      <c r="AL297" s="5" t="s">
        <v>79</v>
      </c>
      <c r="AM297" s="5">
        <v>1619409</v>
      </c>
      <c r="AN297" s="5" t="s">
        <v>80</v>
      </c>
      <c r="AO297" s="5">
        <v>1094010</v>
      </c>
      <c r="AP297" s="5" t="s">
        <v>81</v>
      </c>
      <c r="AQ297" s="5" t="s">
        <v>64</v>
      </c>
      <c r="AR297" s="5" t="s">
        <v>645</v>
      </c>
      <c r="AS297" s="5"/>
      <c r="AT297" s="5"/>
      <c r="AU297" s="5"/>
      <c r="AV297" s="5"/>
      <c r="AW297" s="8"/>
      <c r="AX297" t="s">
        <v>1135</v>
      </c>
      <c r="AY297" t="s">
        <v>2152</v>
      </c>
    </row>
    <row r="298" spans="1:51" x14ac:dyDescent="0.35">
      <c r="A298" s="4" t="s">
        <v>772</v>
      </c>
      <c r="B298" s="5" t="s">
        <v>772</v>
      </c>
      <c r="C298" s="5" t="s">
        <v>1058</v>
      </c>
      <c r="D298" s="5" t="s">
        <v>50</v>
      </c>
      <c r="E298" s="5" t="s">
        <v>51</v>
      </c>
      <c r="F298" s="5" t="s">
        <v>869</v>
      </c>
      <c r="G298" s="5" t="s">
        <v>53</v>
      </c>
      <c r="H298" s="5" t="s">
        <v>54</v>
      </c>
      <c r="I298" s="5" t="s">
        <v>1071</v>
      </c>
      <c r="J298" s="5" t="s">
        <v>56</v>
      </c>
      <c r="K298" s="5" t="s">
        <v>57</v>
      </c>
      <c r="L298" s="5" t="s">
        <v>58</v>
      </c>
      <c r="M298" s="5" t="s">
        <v>59</v>
      </c>
      <c r="N298" s="5" t="s">
        <v>60</v>
      </c>
      <c r="O298" s="5" t="s">
        <v>60</v>
      </c>
      <c r="P298" s="5" t="s">
        <v>61</v>
      </c>
      <c r="Q298" s="5" t="s">
        <v>62</v>
      </c>
      <c r="R298" s="5" t="s">
        <v>63</v>
      </c>
      <c r="S298" s="5" t="s">
        <v>64</v>
      </c>
      <c r="T298" s="5" t="s">
        <v>65</v>
      </c>
      <c r="U298" s="5" t="s">
        <v>66</v>
      </c>
      <c r="V298" s="5" t="s">
        <v>197</v>
      </c>
      <c r="W298" s="5" t="s">
        <v>1077</v>
      </c>
      <c r="X298" s="5" t="s">
        <v>218</v>
      </c>
      <c r="Y298" s="5" t="s">
        <v>200</v>
      </c>
      <c r="Z298" s="5" t="s">
        <v>71</v>
      </c>
      <c r="AA298" s="5" t="s">
        <v>72</v>
      </c>
      <c r="AB298" s="5" t="s">
        <v>73</v>
      </c>
      <c r="AC298" s="5" t="s">
        <v>74</v>
      </c>
      <c r="AD298" s="5" t="s">
        <v>75</v>
      </c>
      <c r="AE298" s="5" t="s">
        <v>201</v>
      </c>
      <c r="AF298" s="6">
        <v>35818.480000000003</v>
      </c>
      <c r="AG298" s="7">
        <v>1</v>
      </c>
      <c r="AH298" s="6">
        <v>35818.480000000003</v>
      </c>
      <c r="AI298" s="5" t="s">
        <v>141</v>
      </c>
      <c r="AJ298" s="10">
        <v>45959</v>
      </c>
      <c r="AK298" s="5" t="s">
        <v>1073</v>
      </c>
      <c r="AL298" s="5" t="s">
        <v>79</v>
      </c>
      <c r="AM298" s="5">
        <v>1619409</v>
      </c>
      <c r="AN298" s="5" t="s">
        <v>80</v>
      </c>
      <c r="AO298" s="5">
        <v>1094010</v>
      </c>
      <c r="AP298" s="5" t="s">
        <v>81</v>
      </c>
      <c r="AQ298" s="5" t="s">
        <v>64</v>
      </c>
      <c r="AR298" s="5" t="s">
        <v>218</v>
      </c>
      <c r="AS298" s="5"/>
      <c r="AT298" s="5"/>
      <c r="AU298" s="5"/>
      <c r="AV298" s="5"/>
      <c r="AW298" s="8"/>
      <c r="AX298" t="s">
        <v>1135</v>
      </c>
      <c r="AY298" t="s">
        <v>2152</v>
      </c>
    </row>
    <row r="299" spans="1:51" x14ac:dyDescent="0.35">
      <c r="A299" s="4" t="s">
        <v>772</v>
      </c>
      <c r="B299" s="5" t="s">
        <v>772</v>
      </c>
      <c r="C299" s="5" t="s">
        <v>1058</v>
      </c>
      <c r="D299" s="5" t="s">
        <v>50</v>
      </c>
      <c r="E299" s="5" t="s">
        <v>51</v>
      </c>
      <c r="F299" s="5" t="s">
        <v>869</v>
      </c>
      <c r="G299" s="5" t="s">
        <v>53</v>
      </c>
      <c r="H299" s="5" t="s">
        <v>54</v>
      </c>
      <c r="I299" s="5" t="s">
        <v>1071</v>
      </c>
      <c r="J299" s="5" t="s">
        <v>56</v>
      </c>
      <c r="K299" s="5" t="s">
        <v>57</v>
      </c>
      <c r="L299" s="5" t="s">
        <v>58</v>
      </c>
      <c r="M299" s="5" t="s">
        <v>59</v>
      </c>
      <c r="N299" s="5" t="s">
        <v>60</v>
      </c>
      <c r="O299" s="5" t="s">
        <v>60</v>
      </c>
      <c r="P299" s="5" t="s">
        <v>61</v>
      </c>
      <c r="Q299" s="5" t="s">
        <v>62</v>
      </c>
      <c r="R299" s="5" t="s">
        <v>63</v>
      </c>
      <c r="S299" s="5" t="s">
        <v>64</v>
      </c>
      <c r="T299" s="5" t="s">
        <v>65</v>
      </c>
      <c r="U299" s="5" t="s">
        <v>66</v>
      </c>
      <c r="V299" s="5" t="s">
        <v>656</v>
      </c>
      <c r="W299" s="5" t="s">
        <v>1078</v>
      </c>
      <c r="X299" s="5" t="s">
        <v>356</v>
      </c>
      <c r="Y299" s="5" t="s">
        <v>658</v>
      </c>
      <c r="Z299" s="5" t="s">
        <v>71</v>
      </c>
      <c r="AA299" s="5" t="s">
        <v>72</v>
      </c>
      <c r="AB299" s="5" t="s">
        <v>73</v>
      </c>
      <c r="AC299" s="5" t="s">
        <v>74</v>
      </c>
      <c r="AD299" s="5" t="s">
        <v>75</v>
      </c>
      <c r="AE299" s="5" t="s">
        <v>223</v>
      </c>
      <c r="AF299" s="6">
        <v>35203.86</v>
      </c>
      <c r="AG299" s="7">
        <v>1</v>
      </c>
      <c r="AH299" s="6">
        <v>35203.86</v>
      </c>
      <c r="AI299" s="5" t="s">
        <v>859</v>
      </c>
      <c r="AJ299" s="10">
        <v>45959</v>
      </c>
      <c r="AK299" s="5" t="s">
        <v>1073</v>
      </c>
      <c r="AL299" s="5" t="s">
        <v>79</v>
      </c>
      <c r="AM299" s="5">
        <v>1619409</v>
      </c>
      <c r="AN299" s="5" t="s">
        <v>80</v>
      </c>
      <c r="AO299" s="5">
        <v>1094010</v>
      </c>
      <c r="AP299" s="5" t="s">
        <v>81</v>
      </c>
      <c r="AQ299" s="5" t="s">
        <v>64</v>
      </c>
      <c r="AR299" s="5" t="s">
        <v>356</v>
      </c>
      <c r="AS299" s="5"/>
      <c r="AT299" s="5"/>
      <c r="AU299" s="5"/>
      <c r="AV299" s="5"/>
      <c r="AW299" s="8"/>
      <c r="AX299" t="s">
        <v>1135</v>
      </c>
      <c r="AY299" t="s">
        <v>2152</v>
      </c>
    </row>
    <row r="300" spans="1:51" x14ac:dyDescent="0.35">
      <c r="A300" s="4" t="s">
        <v>772</v>
      </c>
      <c r="B300" s="5" t="s">
        <v>772</v>
      </c>
      <c r="C300" s="5" t="s">
        <v>1079</v>
      </c>
      <c r="D300" s="5" t="s">
        <v>50</v>
      </c>
      <c r="E300" s="5" t="s">
        <v>51</v>
      </c>
      <c r="F300" s="5" t="s">
        <v>475</v>
      </c>
      <c r="G300" s="5" t="s">
        <v>53</v>
      </c>
      <c r="H300" s="5" t="s">
        <v>54</v>
      </c>
      <c r="I300" s="5" t="s">
        <v>1080</v>
      </c>
      <c r="J300" s="5" t="s">
        <v>56</v>
      </c>
      <c r="K300" s="5" t="s">
        <v>57</v>
      </c>
      <c r="L300" s="5" t="s">
        <v>58</v>
      </c>
      <c r="M300" s="5" t="s">
        <v>59</v>
      </c>
      <c r="N300" s="5" t="s">
        <v>60</v>
      </c>
      <c r="O300" s="5" t="s">
        <v>60</v>
      </c>
      <c r="P300" s="5" t="s">
        <v>61</v>
      </c>
      <c r="Q300" s="5" t="s">
        <v>62</v>
      </c>
      <c r="R300" s="5" t="s">
        <v>63</v>
      </c>
      <c r="S300" s="5" t="s">
        <v>64</v>
      </c>
      <c r="T300" s="5" t="s">
        <v>65</v>
      </c>
      <c r="U300" s="5" t="s">
        <v>66</v>
      </c>
      <c r="V300" s="5" t="s">
        <v>798</v>
      </c>
      <c r="W300" s="5" t="s">
        <v>930</v>
      </c>
      <c r="X300" s="5" t="s">
        <v>207</v>
      </c>
      <c r="Y300" s="5" t="s">
        <v>800</v>
      </c>
      <c r="Z300" s="5" t="s">
        <v>71</v>
      </c>
      <c r="AA300" s="5" t="s">
        <v>87</v>
      </c>
      <c r="AB300" s="5" t="s">
        <v>88</v>
      </c>
      <c r="AC300" s="5" t="s">
        <v>89</v>
      </c>
      <c r="AD300" s="5" t="s">
        <v>75</v>
      </c>
      <c r="AE300" s="5" t="s">
        <v>124</v>
      </c>
      <c r="AF300" s="6">
        <v>4326</v>
      </c>
      <c r="AG300" s="7">
        <v>1</v>
      </c>
      <c r="AH300" s="6">
        <v>4326</v>
      </c>
      <c r="AI300" s="5" t="s">
        <v>118</v>
      </c>
      <c r="AJ300" s="10">
        <v>45960</v>
      </c>
      <c r="AK300" s="5" t="s">
        <v>1081</v>
      </c>
      <c r="AL300" s="5" t="s">
        <v>79</v>
      </c>
      <c r="AM300" s="5">
        <v>1619409</v>
      </c>
      <c r="AN300" s="5" t="s">
        <v>80</v>
      </c>
      <c r="AO300" s="5">
        <v>1094010</v>
      </c>
      <c r="AP300" s="5" t="s">
        <v>81</v>
      </c>
      <c r="AQ300" s="5" t="s">
        <v>64</v>
      </c>
      <c r="AR300" s="5" t="s">
        <v>207</v>
      </c>
      <c r="AS300" s="5"/>
      <c r="AT300" s="5"/>
      <c r="AU300" s="5"/>
      <c r="AV300" s="5"/>
      <c r="AW300" s="8"/>
      <c r="AX300" t="s">
        <v>1135</v>
      </c>
      <c r="AY300" t="s">
        <v>2152</v>
      </c>
    </row>
    <row r="301" spans="1:51" x14ac:dyDescent="0.35">
      <c r="A301" s="4" t="s">
        <v>772</v>
      </c>
      <c r="B301" s="5" t="s">
        <v>772</v>
      </c>
      <c r="C301" s="5" t="s">
        <v>869</v>
      </c>
      <c r="D301" s="5" t="s">
        <v>50</v>
      </c>
      <c r="E301" s="5" t="s">
        <v>51</v>
      </c>
      <c r="F301" s="5" t="s">
        <v>475</v>
      </c>
      <c r="G301" s="5" t="s">
        <v>53</v>
      </c>
      <c r="H301" s="5" t="s">
        <v>54</v>
      </c>
      <c r="I301" s="5" t="s">
        <v>1082</v>
      </c>
      <c r="J301" s="5" t="s">
        <v>56</v>
      </c>
      <c r="K301" s="5" t="s">
        <v>57</v>
      </c>
      <c r="L301" s="5" t="s">
        <v>58</v>
      </c>
      <c r="M301" s="5" t="s">
        <v>59</v>
      </c>
      <c r="N301" s="5" t="s">
        <v>60</v>
      </c>
      <c r="O301" s="5" t="s">
        <v>60</v>
      </c>
      <c r="P301" s="5" t="s">
        <v>61</v>
      </c>
      <c r="Q301" s="5" t="s">
        <v>62</v>
      </c>
      <c r="R301" s="5" t="s">
        <v>63</v>
      </c>
      <c r="S301" s="5" t="s">
        <v>64</v>
      </c>
      <c r="T301" s="5" t="s">
        <v>65</v>
      </c>
      <c r="U301" s="5" t="s">
        <v>66</v>
      </c>
      <c r="V301" s="5" t="s">
        <v>490</v>
      </c>
      <c r="W301" s="5" t="s">
        <v>974</v>
      </c>
      <c r="X301" s="5" t="s">
        <v>450</v>
      </c>
      <c r="Y301" s="5" t="s">
        <v>493</v>
      </c>
      <c r="Z301" s="5" t="s">
        <v>71</v>
      </c>
      <c r="AA301" s="5" t="s">
        <v>87</v>
      </c>
      <c r="AB301" s="5" t="s">
        <v>104</v>
      </c>
      <c r="AC301" s="5" t="s">
        <v>105</v>
      </c>
      <c r="AD301" s="5" t="s">
        <v>75</v>
      </c>
      <c r="AE301" s="5" t="s">
        <v>170</v>
      </c>
      <c r="AF301" s="6">
        <v>2920</v>
      </c>
      <c r="AG301" s="7">
        <v>1</v>
      </c>
      <c r="AH301" s="6">
        <v>2920</v>
      </c>
      <c r="AI301" s="5" t="s">
        <v>154</v>
      </c>
      <c r="AJ301" s="10">
        <v>45961</v>
      </c>
      <c r="AK301" s="5" t="s">
        <v>1083</v>
      </c>
      <c r="AL301" s="5" t="s">
        <v>79</v>
      </c>
      <c r="AM301" s="5">
        <v>1619409</v>
      </c>
      <c r="AN301" s="5" t="s">
        <v>80</v>
      </c>
      <c r="AO301" s="5">
        <v>1094010</v>
      </c>
      <c r="AP301" s="5" t="s">
        <v>81</v>
      </c>
      <c r="AQ301" s="5" t="s">
        <v>64</v>
      </c>
      <c r="AR301" s="5" t="s">
        <v>450</v>
      </c>
      <c r="AS301" s="5"/>
      <c r="AT301" s="5"/>
      <c r="AU301" s="5"/>
      <c r="AV301" s="5"/>
      <c r="AW301" s="8"/>
      <c r="AX301" t="s">
        <v>1135</v>
      </c>
      <c r="AY301" t="s">
        <v>2152</v>
      </c>
    </row>
    <row r="302" spans="1:51" x14ac:dyDescent="0.35">
      <c r="A302" s="4" t="s">
        <v>772</v>
      </c>
      <c r="B302" s="5" t="s">
        <v>772</v>
      </c>
      <c r="C302" s="5" t="s">
        <v>869</v>
      </c>
      <c r="D302" s="5" t="s">
        <v>50</v>
      </c>
      <c r="E302" s="5" t="s">
        <v>51</v>
      </c>
      <c r="F302" s="5" t="s">
        <v>475</v>
      </c>
      <c r="G302" s="5" t="s">
        <v>53</v>
      </c>
      <c r="H302" s="5" t="s">
        <v>54</v>
      </c>
      <c r="I302" s="5" t="s">
        <v>1084</v>
      </c>
      <c r="J302" s="5" t="s">
        <v>56</v>
      </c>
      <c r="K302" s="5" t="s">
        <v>57</v>
      </c>
      <c r="L302" s="5" t="s">
        <v>58</v>
      </c>
      <c r="M302" s="5" t="s">
        <v>59</v>
      </c>
      <c r="N302" s="5" t="s">
        <v>60</v>
      </c>
      <c r="O302" s="5" t="s">
        <v>60</v>
      </c>
      <c r="P302" s="5" t="s">
        <v>61</v>
      </c>
      <c r="Q302" s="5" t="s">
        <v>62</v>
      </c>
      <c r="R302" s="5" t="s">
        <v>63</v>
      </c>
      <c r="S302" s="5" t="s">
        <v>64</v>
      </c>
      <c r="T302" s="5" t="s">
        <v>65</v>
      </c>
      <c r="U302" s="5" t="s">
        <v>66</v>
      </c>
      <c r="V302" s="5" t="s">
        <v>260</v>
      </c>
      <c r="W302" s="5" t="s">
        <v>1085</v>
      </c>
      <c r="X302" s="5" t="s">
        <v>350</v>
      </c>
      <c r="Y302" s="5" t="s">
        <v>262</v>
      </c>
      <c r="Z302" s="5" t="s">
        <v>71</v>
      </c>
      <c r="AA302" s="5" t="s">
        <v>87</v>
      </c>
      <c r="AB302" s="5" t="s">
        <v>104</v>
      </c>
      <c r="AC302" s="5" t="s">
        <v>105</v>
      </c>
      <c r="AD302" s="5" t="s">
        <v>75</v>
      </c>
      <c r="AE302" s="5" t="s">
        <v>263</v>
      </c>
      <c r="AF302" s="6">
        <v>2920</v>
      </c>
      <c r="AG302" s="7">
        <v>1</v>
      </c>
      <c r="AH302" s="6">
        <v>2920</v>
      </c>
      <c r="AI302" s="5" t="s">
        <v>352</v>
      </c>
      <c r="AJ302" s="10">
        <v>45961</v>
      </c>
      <c r="AK302" s="5" t="s">
        <v>1086</v>
      </c>
      <c r="AL302" s="5" t="s">
        <v>79</v>
      </c>
      <c r="AM302" s="5">
        <v>1619409</v>
      </c>
      <c r="AN302" s="5" t="s">
        <v>80</v>
      </c>
      <c r="AO302" s="5">
        <v>1094010</v>
      </c>
      <c r="AP302" s="5" t="s">
        <v>81</v>
      </c>
      <c r="AQ302" s="5" t="s">
        <v>64</v>
      </c>
      <c r="AR302" s="5" t="s">
        <v>350</v>
      </c>
      <c r="AS302" s="5"/>
      <c r="AT302" s="5"/>
      <c r="AU302" s="5"/>
      <c r="AV302" s="5"/>
      <c r="AW302" s="8"/>
      <c r="AX302" t="s">
        <v>1135</v>
      </c>
      <c r="AY302" t="s">
        <v>2152</v>
      </c>
    </row>
    <row r="303" spans="1:51" x14ac:dyDescent="0.35">
      <c r="A303" s="4" t="s">
        <v>772</v>
      </c>
      <c r="B303" s="5" t="s">
        <v>772</v>
      </c>
      <c r="C303" s="5" t="s">
        <v>869</v>
      </c>
      <c r="D303" s="5" t="s">
        <v>50</v>
      </c>
      <c r="E303" s="5" t="s">
        <v>51</v>
      </c>
      <c r="F303" s="5" t="s">
        <v>475</v>
      </c>
      <c r="G303" s="5" t="s">
        <v>53</v>
      </c>
      <c r="H303" s="5" t="s">
        <v>54</v>
      </c>
      <c r="I303" s="5" t="s">
        <v>1087</v>
      </c>
      <c r="J303" s="5" t="s">
        <v>56</v>
      </c>
      <c r="K303" s="5" t="s">
        <v>57</v>
      </c>
      <c r="L303" s="5" t="s">
        <v>58</v>
      </c>
      <c r="M303" s="5" t="s">
        <v>59</v>
      </c>
      <c r="N303" s="5" t="s">
        <v>60</v>
      </c>
      <c r="O303" s="5" t="s">
        <v>60</v>
      </c>
      <c r="P303" s="5" t="s">
        <v>61</v>
      </c>
      <c r="Q303" s="5" t="s">
        <v>62</v>
      </c>
      <c r="R303" s="5" t="s">
        <v>63</v>
      </c>
      <c r="S303" s="5" t="s">
        <v>64</v>
      </c>
      <c r="T303" s="5" t="s">
        <v>65</v>
      </c>
      <c r="U303" s="5" t="s">
        <v>66</v>
      </c>
      <c r="V303" s="5" t="s">
        <v>798</v>
      </c>
      <c r="W303" s="5" t="s">
        <v>930</v>
      </c>
      <c r="X303" s="5" t="s">
        <v>207</v>
      </c>
      <c r="Y303" s="5" t="s">
        <v>800</v>
      </c>
      <c r="Z303" s="5" t="s">
        <v>71</v>
      </c>
      <c r="AA303" s="5" t="s">
        <v>87</v>
      </c>
      <c r="AB303" s="5" t="s">
        <v>88</v>
      </c>
      <c r="AC303" s="5" t="s">
        <v>89</v>
      </c>
      <c r="AD303" s="5" t="s">
        <v>75</v>
      </c>
      <c r="AE303" s="5" t="s">
        <v>124</v>
      </c>
      <c r="AF303" s="6">
        <v>4326</v>
      </c>
      <c r="AG303" s="7">
        <v>1</v>
      </c>
      <c r="AH303" s="6">
        <v>4326</v>
      </c>
      <c r="AI303" s="5" t="s">
        <v>118</v>
      </c>
      <c r="AJ303" s="10">
        <v>45961</v>
      </c>
      <c r="AK303" s="5" t="s">
        <v>1088</v>
      </c>
      <c r="AL303" s="5" t="s">
        <v>79</v>
      </c>
      <c r="AM303" s="5">
        <v>1619409</v>
      </c>
      <c r="AN303" s="5" t="s">
        <v>80</v>
      </c>
      <c r="AO303" s="5">
        <v>1094010</v>
      </c>
      <c r="AP303" s="5" t="s">
        <v>81</v>
      </c>
      <c r="AQ303" s="5" t="s">
        <v>64</v>
      </c>
      <c r="AR303" s="5" t="s">
        <v>207</v>
      </c>
      <c r="AS303" s="5"/>
      <c r="AT303" s="5"/>
      <c r="AU303" s="5"/>
      <c r="AV303" s="5"/>
      <c r="AW303" s="8"/>
      <c r="AX303" t="s">
        <v>1135</v>
      </c>
      <c r="AY303" t="s">
        <v>2152</v>
      </c>
    </row>
    <row r="304" spans="1:51" x14ac:dyDescent="0.35">
      <c r="A304" s="4" t="s">
        <v>772</v>
      </c>
      <c r="B304" s="5" t="s">
        <v>772</v>
      </c>
      <c r="C304" s="5" t="s">
        <v>869</v>
      </c>
      <c r="D304" s="5" t="s">
        <v>50</v>
      </c>
      <c r="E304" s="5" t="s">
        <v>51</v>
      </c>
      <c r="F304" s="5" t="s">
        <v>475</v>
      </c>
      <c r="G304" s="5" t="s">
        <v>53</v>
      </c>
      <c r="H304" s="5" t="s">
        <v>54</v>
      </c>
      <c r="I304" s="5" t="s">
        <v>1089</v>
      </c>
      <c r="J304" s="5" t="s">
        <v>56</v>
      </c>
      <c r="K304" s="5" t="s">
        <v>57</v>
      </c>
      <c r="L304" s="5" t="s">
        <v>58</v>
      </c>
      <c r="M304" s="5" t="s">
        <v>59</v>
      </c>
      <c r="N304" s="5" t="s">
        <v>60</v>
      </c>
      <c r="O304" s="5" t="s">
        <v>60</v>
      </c>
      <c r="P304" s="5" t="s">
        <v>61</v>
      </c>
      <c r="Q304" s="5" t="s">
        <v>62</v>
      </c>
      <c r="R304" s="5" t="s">
        <v>63</v>
      </c>
      <c r="S304" s="5" t="s">
        <v>64</v>
      </c>
      <c r="T304" s="5" t="s">
        <v>65</v>
      </c>
      <c r="U304" s="5" t="s">
        <v>66</v>
      </c>
      <c r="V304" s="5" t="s">
        <v>166</v>
      </c>
      <c r="W304" s="5" t="s">
        <v>470</v>
      </c>
      <c r="X304" s="5" t="s">
        <v>450</v>
      </c>
      <c r="Y304" s="5" t="s">
        <v>169</v>
      </c>
      <c r="Z304" s="5" t="s">
        <v>71</v>
      </c>
      <c r="AA304" s="5" t="s">
        <v>87</v>
      </c>
      <c r="AB304" s="5" t="s">
        <v>104</v>
      </c>
      <c r="AC304" s="5" t="s">
        <v>105</v>
      </c>
      <c r="AD304" s="5" t="s">
        <v>75</v>
      </c>
      <c r="AE304" s="5" t="s">
        <v>170</v>
      </c>
      <c r="AF304" s="6">
        <v>2920</v>
      </c>
      <c r="AG304" s="7">
        <v>1</v>
      </c>
      <c r="AH304" s="6">
        <v>2920</v>
      </c>
      <c r="AI304" s="5" t="s">
        <v>416</v>
      </c>
      <c r="AJ304" s="10">
        <v>45961</v>
      </c>
      <c r="AK304" s="5" t="s">
        <v>1090</v>
      </c>
      <c r="AL304" s="5" t="s">
        <v>79</v>
      </c>
      <c r="AM304" s="5">
        <v>1619409</v>
      </c>
      <c r="AN304" s="5" t="s">
        <v>80</v>
      </c>
      <c r="AO304" s="5">
        <v>1094010</v>
      </c>
      <c r="AP304" s="5" t="s">
        <v>81</v>
      </c>
      <c r="AQ304" s="5" t="s">
        <v>64</v>
      </c>
      <c r="AR304" s="5" t="s">
        <v>450</v>
      </c>
      <c r="AS304" s="5"/>
      <c r="AT304" s="5"/>
      <c r="AU304" s="5"/>
      <c r="AV304" s="5"/>
      <c r="AW304" s="8"/>
      <c r="AX304" t="s">
        <v>1135</v>
      </c>
      <c r="AY304" t="s">
        <v>2152</v>
      </c>
    </row>
    <row r="305" spans="1:51" x14ac:dyDescent="0.35">
      <c r="A305" s="4" t="s">
        <v>772</v>
      </c>
      <c r="B305" s="5" t="s">
        <v>772</v>
      </c>
      <c r="C305" s="5" t="s">
        <v>869</v>
      </c>
      <c r="D305" s="5" t="s">
        <v>50</v>
      </c>
      <c r="E305" s="5" t="s">
        <v>51</v>
      </c>
      <c r="F305" s="5" t="s">
        <v>475</v>
      </c>
      <c r="G305" s="5" t="s">
        <v>53</v>
      </c>
      <c r="H305" s="5" t="s">
        <v>54</v>
      </c>
      <c r="I305" s="5" t="s">
        <v>1091</v>
      </c>
      <c r="J305" s="5" t="s">
        <v>56</v>
      </c>
      <c r="K305" s="5" t="s">
        <v>57</v>
      </c>
      <c r="L305" s="5" t="s">
        <v>58</v>
      </c>
      <c r="M305" s="5" t="s">
        <v>59</v>
      </c>
      <c r="N305" s="5" t="s">
        <v>60</v>
      </c>
      <c r="O305" s="5" t="s">
        <v>60</v>
      </c>
      <c r="P305" s="5" t="s">
        <v>61</v>
      </c>
      <c r="Q305" s="5" t="s">
        <v>62</v>
      </c>
      <c r="R305" s="5" t="s">
        <v>63</v>
      </c>
      <c r="S305" s="5" t="s">
        <v>64</v>
      </c>
      <c r="T305" s="5" t="s">
        <v>65</v>
      </c>
      <c r="U305" s="5" t="s">
        <v>66</v>
      </c>
      <c r="V305" s="5" t="s">
        <v>260</v>
      </c>
      <c r="W305" s="5" t="s">
        <v>1092</v>
      </c>
      <c r="X305" s="5" t="s">
        <v>395</v>
      </c>
      <c r="Y305" s="5" t="s">
        <v>262</v>
      </c>
      <c r="Z305" s="5" t="s">
        <v>71</v>
      </c>
      <c r="AA305" s="5" t="s">
        <v>87</v>
      </c>
      <c r="AB305" s="5" t="s">
        <v>104</v>
      </c>
      <c r="AC305" s="5" t="s">
        <v>105</v>
      </c>
      <c r="AD305" s="5" t="s">
        <v>75</v>
      </c>
      <c r="AE305" s="5" t="s">
        <v>263</v>
      </c>
      <c r="AF305" s="6">
        <v>2920</v>
      </c>
      <c r="AG305" s="7">
        <v>1</v>
      </c>
      <c r="AH305" s="6">
        <v>2920</v>
      </c>
      <c r="AI305" s="5" t="s">
        <v>154</v>
      </c>
      <c r="AJ305" s="10">
        <v>45961</v>
      </c>
      <c r="AK305" s="5" t="s">
        <v>1093</v>
      </c>
      <c r="AL305" s="5" t="s">
        <v>79</v>
      </c>
      <c r="AM305" s="5">
        <v>1619409</v>
      </c>
      <c r="AN305" s="5" t="s">
        <v>80</v>
      </c>
      <c r="AO305" s="5">
        <v>1094010</v>
      </c>
      <c r="AP305" s="5" t="s">
        <v>81</v>
      </c>
      <c r="AQ305" s="5" t="s">
        <v>64</v>
      </c>
      <c r="AR305" s="5" t="s">
        <v>395</v>
      </c>
      <c r="AS305" s="5"/>
      <c r="AT305" s="5"/>
      <c r="AU305" s="5"/>
      <c r="AV305" s="5"/>
      <c r="AW305" s="8"/>
      <c r="AX305" t="s">
        <v>1135</v>
      </c>
      <c r="AY305" t="s">
        <v>2152</v>
      </c>
    </row>
    <row r="306" spans="1:51" x14ac:dyDescent="0.35">
      <c r="A306" s="4" t="s">
        <v>772</v>
      </c>
      <c r="B306" s="5" t="s">
        <v>772</v>
      </c>
      <c r="C306" s="5" t="s">
        <v>869</v>
      </c>
      <c r="D306" s="5" t="s">
        <v>50</v>
      </c>
      <c r="E306" s="5" t="s">
        <v>51</v>
      </c>
      <c r="F306" s="5" t="s">
        <v>475</v>
      </c>
      <c r="G306" s="5" t="s">
        <v>53</v>
      </c>
      <c r="H306" s="5" t="s">
        <v>54</v>
      </c>
      <c r="I306" s="5" t="s">
        <v>1094</v>
      </c>
      <c r="J306" s="5" t="s">
        <v>56</v>
      </c>
      <c r="K306" s="5" t="s">
        <v>57</v>
      </c>
      <c r="L306" s="5" t="s">
        <v>58</v>
      </c>
      <c r="M306" s="5" t="s">
        <v>59</v>
      </c>
      <c r="N306" s="5" t="s">
        <v>60</v>
      </c>
      <c r="O306" s="5" t="s">
        <v>60</v>
      </c>
      <c r="P306" s="5" t="s">
        <v>61</v>
      </c>
      <c r="Q306" s="5" t="s">
        <v>62</v>
      </c>
      <c r="R306" s="5" t="s">
        <v>63</v>
      </c>
      <c r="S306" s="5" t="s">
        <v>64</v>
      </c>
      <c r="T306" s="5" t="s">
        <v>65</v>
      </c>
      <c r="U306" s="5" t="s">
        <v>66</v>
      </c>
      <c r="V306" s="5" t="s">
        <v>735</v>
      </c>
      <c r="W306" s="5" t="s">
        <v>1095</v>
      </c>
      <c r="X306" s="5" t="s">
        <v>138</v>
      </c>
      <c r="Y306" s="5" t="s">
        <v>737</v>
      </c>
      <c r="Z306" s="5" t="s">
        <v>71</v>
      </c>
      <c r="AA306" s="5" t="s">
        <v>72</v>
      </c>
      <c r="AB306" s="5" t="s">
        <v>131</v>
      </c>
      <c r="AC306" s="5" t="s">
        <v>132</v>
      </c>
      <c r="AD306" s="5" t="s">
        <v>75</v>
      </c>
      <c r="AE306" s="5" t="s">
        <v>140</v>
      </c>
      <c r="AF306" s="6">
        <v>16500</v>
      </c>
      <c r="AG306" s="7">
        <v>1</v>
      </c>
      <c r="AH306" s="6">
        <v>16500</v>
      </c>
      <c r="AI306" s="5" t="s">
        <v>1096</v>
      </c>
      <c r="AJ306" s="10">
        <v>45961</v>
      </c>
      <c r="AK306" s="5" t="s">
        <v>1097</v>
      </c>
      <c r="AL306" s="5" t="s">
        <v>79</v>
      </c>
      <c r="AM306" s="5">
        <v>1619409</v>
      </c>
      <c r="AN306" s="5" t="s">
        <v>80</v>
      </c>
      <c r="AO306" s="5">
        <v>1094010</v>
      </c>
      <c r="AP306" s="5" t="s">
        <v>81</v>
      </c>
      <c r="AQ306" s="5" t="s">
        <v>64</v>
      </c>
      <c r="AR306" s="5" t="s">
        <v>138</v>
      </c>
      <c r="AS306" s="5"/>
      <c r="AT306" s="5"/>
      <c r="AU306" s="5"/>
      <c r="AV306" s="5"/>
      <c r="AW306" s="8"/>
      <c r="AX306" t="s">
        <v>1135</v>
      </c>
      <c r="AY306" t="s">
        <v>2152</v>
      </c>
    </row>
    <row r="307" spans="1:51" x14ac:dyDescent="0.35">
      <c r="A307" s="4" t="s">
        <v>772</v>
      </c>
      <c r="B307" s="5" t="s">
        <v>772</v>
      </c>
      <c r="C307" s="5" t="s">
        <v>869</v>
      </c>
      <c r="D307" s="5" t="s">
        <v>50</v>
      </c>
      <c r="E307" s="5" t="s">
        <v>51</v>
      </c>
      <c r="F307" s="5" t="s">
        <v>475</v>
      </c>
      <c r="G307" s="5" t="s">
        <v>53</v>
      </c>
      <c r="H307" s="5" t="s">
        <v>54</v>
      </c>
      <c r="I307" s="5" t="s">
        <v>1094</v>
      </c>
      <c r="J307" s="5" t="s">
        <v>56</v>
      </c>
      <c r="K307" s="5" t="s">
        <v>57</v>
      </c>
      <c r="L307" s="5" t="s">
        <v>58</v>
      </c>
      <c r="M307" s="5" t="s">
        <v>59</v>
      </c>
      <c r="N307" s="5" t="s">
        <v>60</v>
      </c>
      <c r="O307" s="5" t="s">
        <v>60</v>
      </c>
      <c r="P307" s="5" t="s">
        <v>61</v>
      </c>
      <c r="Q307" s="5" t="s">
        <v>62</v>
      </c>
      <c r="R307" s="5" t="s">
        <v>63</v>
      </c>
      <c r="S307" s="5" t="s">
        <v>64</v>
      </c>
      <c r="T307" s="5" t="s">
        <v>65</v>
      </c>
      <c r="U307" s="5" t="s">
        <v>66</v>
      </c>
      <c r="V307" s="5" t="s">
        <v>798</v>
      </c>
      <c r="W307" s="5" t="s">
        <v>930</v>
      </c>
      <c r="X307" s="5" t="s">
        <v>207</v>
      </c>
      <c r="Y307" s="5" t="s">
        <v>800</v>
      </c>
      <c r="Z307" s="5" t="s">
        <v>71</v>
      </c>
      <c r="AA307" s="5" t="s">
        <v>87</v>
      </c>
      <c r="AB307" s="5" t="s">
        <v>88</v>
      </c>
      <c r="AC307" s="5" t="s">
        <v>89</v>
      </c>
      <c r="AD307" s="5" t="s">
        <v>75</v>
      </c>
      <c r="AE307" s="5" t="s">
        <v>124</v>
      </c>
      <c r="AF307" s="6">
        <v>4326</v>
      </c>
      <c r="AG307" s="7">
        <v>1</v>
      </c>
      <c r="AH307" s="6">
        <v>4326</v>
      </c>
      <c r="AI307" s="5" t="s">
        <v>118</v>
      </c>
      <c r="AJ307" s="10">
        <v>45961</v>
      </c>
      <c r="AK307" s="5" t="s">
        <v>1097</v>
      </c>
      <c r="AL307" s="5" t="s">
        <v>79</v>
      </c>
      <c r="AM307" s="5">
        <v>1619409</v>
      </c>
      <c r="AN307" s="5" t="s">
        <v>80</v>
      </c>
      <c r="AO307" s="5">
        <v>1094010</v>
      </c>
      <c r="AP307" s="5" t="s">
        <v>81</v>
      </c>
      <c r="AQ307" s="5" t="s">
        <v>64</v>
      </c>
      <c r="AR307" s="5" t="s">
        <v>207</v>
      </c>
      <c r="AS307" s="5"/>
      <c r="AT307" s="5"/>
      <c r="AU307" s="5"/>
      <c r="AV307" s="5"/>
      <c r="AW307" s="8"/>
      <c r="AX307" t="s">
        <v>1135</v>
      </c>
      <c r="AY307" t="s">
        <v>2152</v>
      </c>
    </row>
    <row r="308" spans="1:51" x14ac:dyDescent="0.35">
      <c r="A308" s="4" t="s">
        <v>1098</v>
      </c>
      <c r="B308" s="5" t="s">
        <v>772</v>
      </c>
      <c r="C308" s="5" t="s">
        <v>1099</v>
      </c>
      <c r="D308" s="5" t="s">
        <v>772</v>
      </c>
      <c r="E308" s="5" t="s">
        <v>51</v>
      </c>
      <c r="F308" s="5" t="s">
        <v>443</v>
      </c>
      <c r="G308" s="5" t="s">
        <v>53</v>
      </c>
      <c r="H308" s="5" t="s">
        <v>54</v>
      </c>
      <c r="I308" s="5" t="s">
        <v>1100</v>
      </c>
      <c r="J308" s="5" t="s">
        <v>56</v>
      </c>
      <c r="K308" s="5" t="s">
        <v>57</v>
      </c>
      <c r="L308" s="5" t="s">
        <v>58</v>
      </c>
      <c r="M308" s="5"/>
      <c r="N308" s="5" t="s">
        <v>60</v>
      </c>
      <c r="O308" s="5" t="s">
        <v>60</v>
      </c>
      <c r="P308" s="5" t="s">
        <v>61</v>
      </c>
      <c r="Q308" s="5" t="s">
        <v>62</v>
      </c>
      <c r="R308" s="5" t="s">
        <v>63</v>
      </c>
      <c r="S308" s="5" t="s">
        <v>64</v>
      </c>
      <c r="T308" s="5" t="s">
        <v>65</v>
      </c>
      <c r="U308" s="5" t="s">
        <v>1101</v>
      </c>
      <c r="V308" s="5" t="s">
        <v>1102</v>
      </c>
      <c r="W308" s="5" t="s">
        <v>1103</v>
      </c>
      <c r="X308" s="5" t="s">
        <v>85</v>
      </c>
      <c r="Y308" s="5" t="s">
        <v>1104</v>
      </c>
      <c r="Z308" s="5" t="s">
        <v>71</v>
      </c>
      <c r="AA308" s="5" t="s">
        <v>72</v>
      </c>
      <c r="AB308" s="5" t="s">
        <v>131</v>
      </c>
      <c r="AC308" s="5" t="s">
        <v>132</v>
      </c>
      <c r="AD308" s="5" t="s">
        <v>75</v>
      </c>
      <c r="AE308" s="5" t="s">
        <v>1105</v>
      </c>
      <c r="AF308" s="6">
        <v>16500</v>
      </c>
      <c r="AG308" s="7">
        <v>-1</v>
      </c>
      <c r="AH308" s="6">
        <v>-16500</v>
      </c>
      <c r="AI308" s="5" t="s">
        <v>557</v>
      </c>
      <c r="AJ308" s="10">
        <v>45784</v>
      </c>
      <c r="AK308" s="5" t="s">
        <v>1106</v>
      </c>
      <c r="AL308" s="5" t="s">
        <v>79</v>
      </c>
      <c r="AM308" s="5">
        <v>1619409</v>
      </c>
      <c r="AN308" s="5" t="s">
        <v>80</v>
      </c>
      <c r="AO308" s="5">
        <v>1094010</v>
      </c>
      <c r="AP308" s="5" t="s">
        <v>81</v>
      </c>
      <c r="AQ308" s="5" t="s">
        <v>64</v>
      </c>
      <c r="AR308" s="5" t="s">
        <v>85</v>
      </c>
      <c r="AS308" s="5"/>
      <c r="AT308" s="5"/>
      <c r="AU308" s="5" t="s">
        <v>1107</v>
      </c>
      <c r="AV308" s="5" t="s">
        <v>888</v>
      </c>
      <c r="AW308" s="8"/>
      <c r="AX308" t="s">
        <v>2165</v>
      </c>
      <c r="AY308" s="21" t="s">
        <v>1108</v>
      </c>
    </row>
    <row r="309" spans="1:51" x14ac:dyDescent="0.35">
      <c r="A309" s="4" t="s">
        <v>772</v>
      </c>
      <c r="B309" s="5" t="s">
        <v>772</v>
      </c>
      <c r="C309" s="5" t="s">
        <v>879</v>
      </c>
      <c r="D309" s="5" t="s">
        <v>772</v>
      </c>
      <c r="E309" s="5" t="s">
        <v>51</v>
      </c>
      <c r="F309" s="5" t="s">
        <v>880</v>
      </c>
      <c r="G309" s="5" t="s">
        <v>53</v>
      </c>
      <c r="H309" s="5" t="s">
        <v>54</v>
      </c>
      <c r="I309" s="5" t="s">
        <v>881</v>
      </c>
      <c r="J309" s="5" t="s">
        <v>56</v>
      </c>
      <c r="K309" s="5" t="s">
        <v>57</v>
      </c>
      <c r="L309" s="5" t="s">
        <v>58</v>
      </c>
      <c r="M309" s="5"/>
      <c r="N309" s="5" t="s">
        <v>60</v>
      </c>
      <c r="O309" s="5" t="s">
        <v>60</v>
      </c>
      <c r="P309" s="5" t="s">
        <v>61</v>
      </c>
      <c r="Q309" s="5" t="s">
        <v>62</v>
      </c>
      <c r="R309" s="5" t="s">
        <v>63</v>
      </c>
      <c r="S309" s="5" t="s">
        <v>64</v>
      </c>
      <c r="T309" s="5" t="s">
        <v>65</v>
      </c>
      <c r="U309" s="5" t="s">
        <v>1101</v>
      </c>
      <c r="V309" s="5" t="s">
        <v>883</v>
      </c>
      <c r="W309" s="5" t="s">
        <v>884</v>
      </c>
      <c r="X309" s="5" t="s">
        <v>459</v>
      </c>
      <c r="Y309" s="5" t="s">
        <v>885</v>
      </c>
      <c r="Z309" s="5" t="s">
        <v>71</v>
      </c>
      <c r="AA309" s="5" t="s">
        <v>72</v>
      </c>
      <c r="AB309" s="5" t="s">
        <v>73</v>
      </c>
      <c r="AC309" s="5" t="s">
        <v>74</v>
      </c>
      <c r="AD309" s="5" t="s">
        <v>75</v>
      </c>
      <c r="AE309" s="5" t="s">
        <v>300</v>
      </c>
      <c r="AF309" s="6">
        <v>35818.480000000003</v>
      </c>
      <c r="AG309" s="7">
        <v>-1</v>
      </c>
      <c r="AH309" s="6">
        <v>-35818.480000000003</v>
      </c>
      <c r="AI309" s="5" t="s">
        <v>379</v>
      </c>
      <c r="AJ309" s="10">
        <v>45939</v>
      </c>
      <c r="AK309" s="5" t="s">
        <v>886</v>
      </c>
      <c r="AL309" s="5" t="s">
        <v>79</v>
      </c>
      <c r="AM309" s="5">
        <v>1619409</v>
      </c>
      <c r="AN309" s="5" t="s">
        <v>80</v>
      </c>
      <c r="AO309" s="5">
        <v>1094010</v>
      </c>
      <c r="AP309" s="5" t="s">
        <v>81</v>
      </c>
      <c r="AQ309" s="5" t="s">
        <v>64</v>
      </c>
      <c r="AR309" s="5" t="s">
        <v>459</v>
      </c>
      <c r="AS309" s="5"/>
      <c r="AT309" s="5"/>
      <c r="AU309" s="5" t="s">
        <v>887</v>
      </c>
      <c r="AV309" s="5" t="s">
        <v>888</v>
      </c>
      <c r="AW309" s="8"/>
      <c r="AX309" t="s">
        <v>2165</v>
      </c>
      <c r="AY309" s="21" t="s">
        <v>1108</v>
      </c>
    </row>
  </sheetData>
  <autoFilter ref="A1:AY309" xr:uid="{A1A38E5A-E057-48CF-A68A-8AA8A700233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Tracker</vt:lpstr>
      <vt:lpstr>Secondary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SCKLP235</dc:creator>
  <cp:lastModifiedBy>SCKLP235</cp:lastModifiedBy>
  <dcterms:created xsi:type="dcterms:W3CDTF">2026-01-30T06:54:39Z</dcterms:created>
  <dcterms:modified xsi:type="dcterms:W3CDTF">2026-03-18T11:10:33Z</dcterms:modified>
</cp:coreProperties>
</file>